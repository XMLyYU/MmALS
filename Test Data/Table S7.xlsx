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V5-260111\Test Data\"/>
    </mc:Choice>
  </mc:AlternateContent>
  <xr:revisionPtr revIDLastSave="0" documentId="13_ncr:1_{F66567C9-81B4-43D1-93D4-283868A9AE80}" xr6:coauthVersionLast="47" xr6:coauthVersionMax="47" xr10:uidLastSave="{00000000-0000-0000-0000-000000000000}"/>
  <bookViews>
    <workbookView xWindow="-110" yWindow="-110" windowWidth="21820" windowHeight="13900" xr2:uid="{3DFF4A72-455B-46BD-BD8B-D7F62D4E168F}"/>
  </bookViews>
  <sheets>
    <sheet name="Table S6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" i="1" l="1"/>
  <c r="H62" i="1"/>
  <c r="H61" i="1"/>
  <c r="H60" i="1"/>
  <c r="H59" i="1"/>
  <c r="H58" i="1"/>
  <c r="H55" i="1"/>
  <c r="H54" i="1"/>
  <c r="H53" i="1"/>
  <c r="H52" i="1"/>
  <c r="H51" i="1"/>
  <c r="H50" i="1"/>
  <c r="H49" i="1"/>
  <c r="H48" i="1"/>
  <c r="H47" i="1"/>
  <c r="H46" i="1"/>
  <c r="H43" i="1"/>
  <c r="H42" i="1"/>
  <c r="H41" i="1"/>
  <c r="H40" i="1"/>
  <c r="H39" i="1"/>
  <c r="H38" i="1"/>
  <c r="H37" i="1"/>
  <c r="H36" i="1"/>
  <c r="H35" i="1"/>
  <c r="H34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<sst xmlns="http://schemas.openxmlformats.org/spreadsheetml/2006/main" count="126" uniqueCount="114">
  <si>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</si>
  <si>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</si>
  <si>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</si>
  <si>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</si>
  <si>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</si>
  <si>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</si>
  <si>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</si>
  <si>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MDITRFKEDLKAHLEEKIIPFWQSLKDDEFGGYYGYMDFNLNIDRKAQKGCILNSRILWFFSACYNVLKSEKCKEMAFHAFEFLKNKFWDKEYEGLFWSVSHKGVPVDVTKHVYVQAFGIYGLSEYYEASGDEEALHMAKRLFEILETKCKRENGYTEQFERNWQEKENRFLSQNGVY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</si>
  <si>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SNGV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</si>
  <si>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PGVE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</si>
  <si>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PGV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</si>
  <si>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QGV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</si>
  <si>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NPGVE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</si>
  <si>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VN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</si>
  <si>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S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</si>
  <si>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TGI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</si>
  <si>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QGIR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</si>
  <si>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GNGVQ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</si>
  <si>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RNGH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</si>
  <si>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VGIH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</si>
  <si>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SN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</si>
  <si>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E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</si>
  <si>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Y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</si>
  <si>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C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</si>
  <si>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S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</si>
  <si>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</si>
  <si>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PGVI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</si>
  <si>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QGCF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</si>
  <si>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R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</si>
  <si>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</si>
  <si>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GNGVFASKTMNTHLHVLESYTNLYRLLKLDDVYEALEWIVRLFVDKIYKKGTGHFKVFCDDNWNELIKAVSYGHDIEASWLLDQAAKYLKDEKLKEEVEKLALEVAQITLKEAFDGQSLINEMIEDRIDRSKIWWVEAETVVGFFNAYQKTKEEKYLDAAIKTWEFIKEHLVDRRKNSEWLWKVNEDLEAVNMPIVECWKCPYHNGRMCLEIIKRVD</t>
  </si>
  <si>
    <t>MDITRFKEDLKAHLEEKIIPFWQSLKDDEFGGYYGYMDFNLNIDRKAQKGCILNSRILWFFSACYNVLKSEKCKEMAFHAFEFLKNKFWDKEYEGLFWSVSHKGVPVDVTKHVYVQAFGIYGLSEYYEASGDEEALHMAKRLFEILETKCKRENGYTEQFERNWQEKENRFLSENLVCASKTMNTHLHVLESYTNLYRLLKLDDVYEALEWIVRLFVDKIYKKGTGHFKVFCDDNWNELIKAVSYGHDIEASWLLDQAAKYLKDEKLKEEVEKLALEVAQITLKEAFDGQSLINEMIEDRIDRSKIWWVEAETVVGFFNAYQKTKEEKYLDAAIKTWEFIKEHLVDRRKNSEWLWKVNEDLEAVNMPIVECWKCPYHNGRMCLEIIKRVD</t>
  </si>
  <si>
    <t>MDITRFKEDLKAHLEEKIIPFWQSLKDDEFGGYYGYMDFNLNIDRKAQKGCILNSRILWFFSACYNVLKSEKCKEMAFHAFEFLKNKFWDKEYEGLFWSVSHKGVPVDVTKHVYVQAFGIYGLSEYYEASGDEEALHMAKRLFEILETKCKRENGYTEQFERNWQEKENRFLSEEGMIASKTMNTHLHVLESYTNLYRLLKLDDVYEALEWIVRLFVDKIYKKGTGHFKVFCDDNWNELIKAVSYGHDIEASWLLDQAAKYLKDEKLKEEVEKLALEVAQITLKEAFDGQSLINEMIEDRIDRSKIWWVEAETVVGFFNAYQKTKEEKYLDAAIKTWEFIKEHLVDRRKNSEWLWKVNEDLEAVNMPIVEDWKCPYHNGRMCLEIIKRVD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</si>
  <si>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AWKCPYHNGRMCLEIIKRVD</t>
  </si>
  <si>
    <t>MDITRFKEDLKAHLEEKIIPFWQSLKDDEFGGYYGYMDFNLNIDRKAQKGCILNSRILWFFSACYNVLKSEKCKEMAFHAFEFLKNKFWDKEYEGLFWSVSHKGVPVDVTKHVYVQAFGIYGLSEYYEASGDEEALHMAKRLFEILETKCKRENGYTEQFERNWQEKENRFLSQNHHLASKTMNTHLHVLESYTNLYRLLKLDDVYEALEWIVRLFVDKIYKKGTGHFKVFCDDNWNELIKAVSYGHDIEASWLLDQAAKYLKDEKLKEEVEKLALEVAQITLKEAFDGQSLINEMIEDRIDRSKIWWVEAETVVGFFNAYQKTKEEKYLDAAIKTWEFIKEHLVDRRKNSEWLWKVNEDLEAVNMPIVEAWKCPYHNGRMCLEIIKRVD</t>
  </si>
  <si>
    <t>opt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</si>
  <si>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</si>
  <si>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</si>
  <si>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EWGVA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</si>
  <si>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Q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</si>
  <si>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AGVN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</si>
  <si>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EGQRASKTMNTHLHVLESYTNLYRLLKLDDVYEALEWIVRLFVDKIYKKGTGHFKVFCDDNWNELIKAVSYGHDIEASWLLDQAAKYLKDEKLKEEVEKLALEVAQITLKEAFDGQSLINEMIEDRIDRSKIWWVEAETVVGFFNAYQKTKEEKYLDAAIKTWEFIKEHLVDRRKNSEWLWKVNEDLEAVNMPIVERWKCPYHNGRMCLEIIKRVD</t>
  </si>
  <si>
    <t>MDITRFKEDLKAHLEEKIIPFWQSLKDDEFGGYYGYMDFNLNIDRKAQKGCILNSRILWFFSACYNVLKSEKCKEMAFHAFEFLKNKFWDKEYEGLFWSVSHKGVPVDVTKHVYVQAFGIYGLSEYYEASGDEEALHMAKRLFEILETKCKRENGYTEQFERNWQEKENRFLSNGGVIASKTMNTHLHVLESYTNLYRLLKLDDVYEALEWIVRLFVDKIYKKGTGHFKVFCDDNWNELIKAVSYGHDIEASWLLDQAAKYLKDEKLKEEVEKLALEVAQITLKEAFDGQSLINEMIEDRIDRSKIWWVEAETVVGFFNAYQKTKEEKYLDAAIKTWEFIKEHLVDRRKNSEWLWKVNEDLEAVNMPIVECWKCPYHNGRMCLEIIKRVD</t>
  </si>
  <si>
    <t>MDITRFKEDLKAHLEEKIIPFWQSLKDDEFGGYYGYMDFNLNIDRKAQKGCILNSRILWFFSACYNVLKSEKCKEMAFHAFEFLKNKFWDKEYEGLFWSVSHKGVPVDVTKHVYVQAFGIYGLSEYYEASGDEEALHMAKRLFEILETKCKRENGYTEQFERNWQEKENRFLSEWGVIASKTMNTHLHVLESYTNLYRLLKLDDVYEALEWIVRLFVDKIYKKGTGHFKVFCDDNWNELIKAVSYGHDIEASWLLDQAAKYLKDEKLKEEVEKLALEVAQITLKEAFDGQSLINEMIEDRIDRSKIWWVEAETVVGFFNAYQKTKEEKYLDAAIKTWEFIKEHLVDRRKNSEWLWKVNEDLEAVNMPIVEFWKCPYHNGRMCLEIIKRVD</t>
  </si>
  <si>
    <t>MDITRFKEDLKAHLEEKIIPFWQSLKDDEFGGYYGYMDFNLNIDRKAQKGCILNSRILWFFSACYNVLKSEKCKEMAFHAFEFLKNKFWDKEYEGLFWSVSHKGVPVDVTKHVYVQAFGIYGLSEYYEASGDEEALHMAKRLFEILETKCKRENGYTEQFERNWQEKENRFLSENGVEASKTMNTHLHVLESYTNLYRLLKLDDVYEALEWIVRLFVDKIYKKGTGHFKVFCDDNWNELIKAVSYGHDIEASWLLDQAAKYLKDEKLKEEVEKLALEVAQITLKEAFDGQSLINEMIEDRIDRSKIWWVEAETVVGFFNAYQKTKEEKYLDAAIKTWEFIKEHLVDRRKNSEWLWKVNEDLEAVNMPIVEL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</si>
  <si>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GKVNEDLEAVNMPIVEQWKCPYHNGRMCLEIIKRVD</t>
  </si>
  <si>
    <t>MDITRFKEDLKAHLEEKIIPFWQSLKDDEFGGYYGYMDFNLNIDRKAQKGCILNSRILWFFSACYNVLKSEKCKEMAFHAFEFLKNKFWDKEYEGLFWSVSHKGVPVDVTKHVYVQAFGIYGLSEYYEASGDEEALHMAKRLFEILETKCKRENGYTEQFERNWQEKENRFLSENGVQASKTMNTHLHVLESYTNLYRLLKLDDVYEALEWIVRLFVDKIYKKGTGHFKVFCDDNWNELIKAVSYGHDIEASWLLDQAAKYLKDEKLKEEVEKLALEVAQITLKEAFDGQSLINEMIEDRIDRSKIWWVEAETVVGFFNAYQKTKEEKYLDAAIKTWEFIKEHLVDRRKNSEWLYKVNEDLEAVNMPIVECWKCPYHNGRMCLEIIKRVD</t>
  </si>
  <si>
    <t>MDITRFKEDLKAHLEEKIIPFWQSLKDDEFGGYYGYMDFNLNIDRKAQKGCILNSRILWFFSACYNVLKSEKCKEMAFHAFEFLKNKFWDKEYEGLFWSVSHKGVPVDVTKHVYVQAFGIYGLSEYYEASGDEEALHMAKRLFEILETKCKRENGYTEQFERNWQEKENRFLSINGVH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</si>
  <si>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KNGVY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</si>
  <si>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QGCM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</si>
  <si>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NKML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</si>
  <si>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</si>
  <si>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NNGVS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</si>
  <si>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YKVNEDLEAVNMPIVES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</si>
  <si>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MKVNEDLEAVNMPIVENWKCPYHNGRMCLEIIKRVD</t>
  </si>
  <si>
    <t>MDITRFKEDLKAHLEEKIIPFWQSLKDDEFGGYYGYMDFNLNIDRKAQKGCILNSRILWFFSACYNVLKSEKCKEMAFHAFEFLKNKFWDKEYEGLFWSVSHKGVPVDVTKHVYVQAFGIYGLSEYYEASGDEEALHMAKRLFEILETKCKRENGYTEQFERNWQEKENRFLSLNGVIASKTMNTHLHVLESYTNLYRLLKLDDVYEALEWIVRLFVDKIYKKGTGHFKVFCDDNWNELIKAVSYGHDIEASWLLDQAAKYLKDEKLKEEVEKLALEVAQITLKEAFDGQSLINEMIEDRIDRSKIWWVEAETVVGFFNAYQKTKEEKYLDAAIKTWEFIKEHLVDRRKNSEWLWKVNEDLEAVNMPIVEN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</si>
  <si>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</si>
  <si>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LPGAT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</si>
  <si>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CGQVASKTMNTHLHVLESYTNLYRLLKLDDVYEALEWIVRLFVDKIYKKGTGHFKVFCDDNWNELIKAVSYGHDIEASWLLDQAAKYLKDEKLKEEVEKLALEVAQITLKEAFDGQSLINEMIEDRIDRSKIWWVEAETVVGFFNAYQKTKEEKYLDAAIKTWEFIKEHLVDRRKNSEWLCKVNEDLEAVNMPIVEDWKCPYHNGRMCLEIIKRVD</t>
  </si>
  <si>
    <t>MDITRFKEDLKAHLEEKIIPFWQSLKDDEFGGYYGYMDFNLNIDRKAQKGCILNSRILWFFSACYNVLKSEKCKEMAFHAFEFLKNKFWDKEYEGLFWSVSHKGVPVDVTKHVYVQAFGIYGLSEYYEASGDEEALHMAKRLFEILETKCKRENGYTEQFERNWQEKENRFLSEPGVCASKTMNTHLHVLESYTNLYRLLKLDDVYEALEWIVRLFVDKIYKKGTGHFKVFCDDNWNELIKAVSYGHDIEASWLLDQAAKYLKDEKLKEEVEKLALEVAQITLKEAFDGQSLINEMIEDRIDRSKIWWVEAETVVGFFNAYQKTKEEKYLDAAIKTWEFIKEHLVDRRKNSEWLGKVNEDLEAVNMPIVEIWKCPYHNGRMCLEIIKRVD</t>
  </si>
  <si>
    <t>MDITRFKEDLKAHLEEKIIPFWQSLKDDEFGGYYGYMDFNLNIDRKAQKGCILNSRILWFFSACYNVLKSEKCKEMAFHAFEFLKNKFWDKEYEGLFWSVSHKGVPVDVTKHVYVQAFGIYGLSEYYEASGDEEALHMAKRLFEILETKCKRENGYTEQFERNWQEKENRFLSTNGVRASKTMNTHLHVLESYTNLYRLLKLDDVYEALEWIVRLFVDKIYKKGTGHFKVFCDDNWNELIKAVSYGHDIEASWLLDQAAKYLKDEKLKEEVEKLALEVAQITLKEAFDGQSLINEMIEDRIDRSKIWWVEAETVVGFFNAYQKTKEEKYLDAAIKTWEFIKEHLVDRRKNSEWLEKVNEDLEAVNMPIVEPWKCPYHNGRMCLEIIKRVD</t>
  </si>
  <si>
    <t>E174Q,I178Y</t>
    <phoneticPr fontId="3" type="noConversion"/>
  </si>
  <si>
    <t>E174S,I178R</t>
    <phoneticPr fontId="3" type="noConversion"/>
  </si>
  <si>
    <t>N175P,I178E</t>
    <phoneticPr fontId="3" type="noConversion"/>
  </si>
  <si>
    <t>N175P,I178R</t>
    <phoneticPr fontId="3" type="noConversion"/>
  </si>
  <si>
    <t>N175Q,I178R</t>
    <phoneticPr fontId="3" type="noConversion"/>
  </si>
  <si>
    <t>E174N,N175P,I178E</t>
    <phoneticPr fontId="3" type="noConversion"/>
  </si>
  <si>
    <t>E174V,Q371P</t>
    <phoneticPr fontId="3" type="noConversion"/>
  </si>
  <si>
    <t>N175S,Q371P</t>
    <phoneticPr fontId="3" type="noConversion"/>
  </si>
  <si>
    <t>N175T,V177I,Q371P</t>
    <phoneticPr fontId="3" type="noConversion"/>
  </si>
  <si>
    <t>N175Q,V177I,I178R,Q371P</t>
    <phoneticPr fontId="3" type="noConversion"/>
  </si>
  <si>
    <t>E174G,I178Q</t>
    <phoneticPr fontId="3" type="noConversion"/>
  </si>
  <si>
    <t>E174R,V177H,I178R</t>
    <phoneticPr fontId="3" type="noConversion"/>
  </si>
  <si>
    <t>N175V,V177I,I178H,Q371E</t>
    <phoneticPr fontId="3" type="noConversion"/>
  </si>
  <si>
    <t>E174S,Q371P</t>
    <phoneticPr fontId="3" type="noConversion"/>
  </si>
  <si>
    <t>N175E,Q371P</t>
    <phoneticPr fontId="3" type="noConversion"/>
  </si>
  <si>
    <t>N175Y,Q371P</t>
    <phoneticPr fontId="3" type="noConversion"/>
  </si>
  <si>
    <t>I178C,Q371P</t>
    <phoneticPr fontId="3" type="noConversion"/>
  </si>
  <si>
    <t>I178S,Q371P</t>
    <phoneticPr fontId="3" type="noConversion"/>
  </si>
  <si>
    <t>I178M,Q371S</t>
    <phoneticPr fontId="3" type="noConversion"/>
  </si>
  <si>
    <t>N175P,Q371S</t>
    <phoneticPr fontId="3" type="noConversion"/>
  </si>
  <si>
    <t>N175Q,V177C,I178F,Q371S</t>
    <phoneticPr fontId="3" type="noConversion"/>
  </si>
  <si>
    <t>I178Y,Q371R</t>
    <phoneticPr fontId="3" type="noConversion"/>
  </si>
  <si>
    <t>I178Y,Q371P</t>
    <phoneticPr fontId="3" type="noConversion"/>
  </si>
  <si>
    <t>E174G,I178F,Q371C</t>
    <phoneticPr fontId="3" type="noConversion"/>
  </si>
  <si>
    <t>G176L,I178C,Q371C</t>
    <phoneticPr fontId="3" type="noConversion"/>
  </si>
  <si>
    <t>N175E,V177M,Q371D</t>
    <phoneticPr fontId="3" type="noConversion"/>
  </si>
  <si>
    <t>I178M,Q371A</t>
    <phoneticPr fontId="3" type="noConversion"/>
  </si>
  <si>
    <t>E174Q,G176H,V177H,I178L,Q371A</t>
    <phoneticPr fontId="3" type="noConversion"/>
  </si>
  <si>
    <t>Q371E</t>
    <phoneticPr fontId="3" type="noConversion"/>
  </si>
  <si>
    <t>N175W,I178A</t>
    <phoneticPr fontId="3" type="noConversion"/>
  </si>
  <si>
    <t>N175Q,Q371P</t>
    <phoneticPr fontId="3" type="noConversion"/>
  </si>
  <si>
    <t>N175A,I178N,Q371S</t>
    <phoneticPr fontId="3" type="noConversion"/>
  </si>
  <si>
    <t>N175E,V177Q,I178R,Q371R</t>
    <phoneticPr fontId="3" type="noConversion"/>
  </si>
  <si>
    <t>E174N,N175G,Q371C</t>
    <phoneticPr fontId="3" type="noConversion"/>
  </si>
  <si>
    <t>N175W,Q371F</t>
    <phoneticPr fontId="3" type="noConversion"/>
  </si>
  <si>
    <t>I178E,Q371L</t>
    <phoneticPr fontId="3" type="noConversion"/>
  </si>
  <si>
    <t>I178Y,W355G</t>
    <phoneticPr fontId="3" type="noConversion"/>
  </si>
  <si>
    <t>I178Q,W355Y,Q371C</t>
    <phoneticPr fontId="3" type="noConversion"/>
  </si>
  <si>
    <t>E174I,I178H</t>
    <phoneticPr fontId="3" type="noConversion"/>
  </si>
  <si>
    <t>E174K,I178Y</t>
    <phoneticPr fontId="3" type="noConversion"/>
  </si>
  <si>
    <t>N175Q,V177C,I178M</t>
    <phoneticPr fontId="3" type="noConversion"/>
  </si>
  <si>
    <t>E174P,G176K,V177M,I178L</t>
    <phoneticPr fontId="3" type="noConversion"/>
  </si>
  <si>
    <t>I178M,Q371P</t>
    <phoneticPr fontId="3" type="noConversion"/>
  </si>
  <si>
    <t>E174N,I178S,Q371P</t>
    <phoneticPr fontId="3" type="noConversion"/>
  </si>
  <si>
    <t>W355Y,Q371S</t>
    <phoneticPr fontId="3" type="noConversion"/>
  </si>
  <si>
    <t>W355M,Q371N</t>
    <phoneticPr fontId="3" type="noConversion"/>
  </si>
  <si>
    <t>E174L,Q371N</t>
    <phoneticPr fontId="3" type="noConversion"/>
  </si>
  <si>
    <t>I178Y,Q371S</t>
    <phoneticPr fontId="3" type="noConversion"/>
  </si>
  <si>
    <t>E174L,N175P,V177A,I178T,Q371S</t>
    <phoneticPr fontId="3" type="noConversion"/>
  </si>
  <si>
    <t>N175C,V177Q,I178V,W355C,Q371D</t>
    <phoneticPr fontId="3" type="noConversion"/>
  </si>
  <si>
    <t>N175P,I178C,W355G,Q371I</t>
    <phoneticPr fontId="3" type="noConversion"/>
  </si>
  <si>
    <t>E174T,I178R,W355E,Q371P</t>
    <phoneticPr fontId="3" type="noConversion"/>
  </si>
  <si>
    <r>
      <rPr>
        <b/>
        <sz val="12"/>
        <rFont val="Times New Roman"/>
        <family val="1"/>
      </rPr>
      <t xml:space="preserve">Table S7. </t>
    </r>
    <r>
      <rPr>
        <sz val="12"/>
        <rFont val="Times New Roman"/>
        <family val="1"/>
      </rPr>
      <t>Top 51 predicted mutants and their volumetric isomerization activity after the first round of training.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</si>
</sst>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14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/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A617-5449-4F67-93B6-3E746A2C8475}">
  <dimension ref="A1:H65"/>
  <sheetViews>
    <sheetView tabSelected="1" workbookViewId="0">
      <selection sqref="A1:H1"/>
    </sheetView>
  </sheetViews>
  <sheetFormatPr defaultColWidth="9" defaultRowHeight="15.5" x14ac:dyDescent="0.25"/>
  <cols>
    <col min="1" max="1" width="10.1796875" style="1" customWidth="1"/>
    <col min="2" max="2" width="32.1796875" style="1" customWidth="1"/>
    <col min="3" max="3" width="21.7265625" style="1" customWidth="1"/>
    <col min="4" max="7" width="9" style="7"/>
    <col min="8" max="8" width="16.6328125" style="7" customWidth="1"/>
    <col min="9" max="12" width="9" style="1"/>
    <col min="13" max="13" width="46.90625" style="1" customWidth="1"/>
    <col min="14" max="16384" width="9" style="1"/>
  </cols>
  <sheetData>
    <row r="1" spans="1:8" ht="32.5" customHeight="1" x14ac:dyDescent="0.25">
      <c r="A1" s="10" t="s">
        <v>113</v>
      </c>
      <c r="B1" s="10"/>
      <c r="C1" s="10"/>
      <c r="D1" s="10"/>
      <c r="E1" s="10"/>
      <c r="F1" s="10"/>
      <c r="G1" s="10"/>
      <c r="H1" s="10"/>
    </row>
    <row r="2" spans="1:8" s="5" customFormat="1" ht="45" x14ac:dyDescent="0.25">
      <c r="A2" s="2"/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x14ac:dyDescent="0.25">
      <c r="A3" s="6">
        <v>45449</v>
      </c>
      <c r="B3" s="1" t="s">
        <v>61</v>
      </c>
      <c r="C3" s="1" t="s">
        <v>7</v>
      </c>
      <c r="D3" s="7">
        <v>682.51429469313996</v>
      </c>
      <c r="E3" s="7">
        <v>606.67937306056899</v>
      </c>
      <c r="F3" s="7">
        <v>644.59683387685504</v>
      </c>
      <c r="G3" s="7">
        <v>53.623387337141402</v>
      </c>
      <c r="H3" s="7">
        <f>F3/$F$32*$H$32</f>
        <v>788.43326244826221</v>
      </c>
    </row>
    <row r="4" spans="1:8" x14ac:dyDescent="0.25">
      <c r="B4" s="1" t="s">
        <v>62</v>
      </c>
      <c r="C4" s="1" t="s">
        <v>8</v>
      </c>
      <c r="D4" s="7">
        <v>945.408689686054</v>
      </c>
      <c r="E4" s="7">
        <v>935.29736680171095</v>
      </c>
      <c r="F4" s="7">
        <v>940.35302824388202</v>
      </c>
      <c r="G4" s="7">
        <v>7.1497849782855303</v>
      </c>
      <c r="H4" s="7">
        <f t="shared" ref="H4:H31" si="0">F4/$F$32*$H$32</f>
        <v>1150.1849946304053</v>
      </c>
    </row>
    <row r="5" spans="1:8" x14ac:dyDescent="0.25">
      <c r="B5" s="1" t="s">
        <v>63</v>
      </c>
      <c r="C5" s="1" t="s">
        <v>9</v>
      </c>
      <c r="D5" s="7">
        <v>722.95958623051195</v>
      </c>
      <c r="E5" s="7">
        <v>733.07090911485398</v>
      </c>
      <c r="F5" s="7">
        <v>728.01524767268302</v>
      </c>
      <c r="G5" s="7">
        <v>7.1497849782855303</v>
      </c>
      <c r="H5" s="7">
        <f t="shared" si="0"/>
        <v>890.46580229450763</v>
      </c>
    </row>
    <row r="6" spans="1:8" x14ac:dyDescent="0.25">
      <c r="B6" s="1" t="s">
        <v>64</v>
      </c>
      <c r="C6" s="1" t="s">
        <v>10</v>
      </c>
      <c r="D6" s="7">
        <v>672.40297180879702</v>
      </c>
      <c r="E6" s="7">
        <v>692.62561757748301</v>
      </c>
      <c r="F6" s="7">
        <v>682.51429469313996</v>
      </c>
      <c r="G6" s="7">
        <v>14.299569956571</v>
      </c>
      <c r="H6" s="7">
        <f t="shared" si="0"/>
        <v>834.81168965110044</v>
      </c>
    </row>
    <row r="7" spans="1:8" x14ac:dyDescent="0.25">
      <c r="B7" s="1" t="s">
        <v>65</v>
      </c>
      <c r="C7" s="1" t="s">
        <v>11</v>
      </c>
      <c r="D7" s="7">
        <v>733.07090911485398</v>
      </c>
      <c r="E7" s="7">
        <v>834.18413795828303</v>
      </c>
      <c r="F7" s="7">
        <v>783.62752353656902</v>
      </c>
      <c r="G7" s="7">
        <v>71.497849782855297</v>
      </c>
      <c r="H7" s="7">
        <f t="shared" si="0"/>
        <v>958.48749552533866</v>
      </c>
    </row>
    <row r="8" spans="1:8" x14ac:dyDescent="0.25">
      <c r="B8" s="1" t="s">
        <v>66</v>
      </c>
      <c r="C8" s="1" t="s">
        <v>12</v>
      </c>
      <c r="D8" s="7">
        <v>530.84445142799802</v>
      </c>
      <c r="E8" s="7">
        <v>586.456727291883</v>
      </c>
      <c r="F8" s="7">
        <v>558.65058935994102</v>
      </c>
      <c r="G8" s="7">
        <v>39.323817380570397</v>
      </c>
      <c r="H8" s="7">
        <f t="shared" si="0"/>
        <v>683.30882745516055</v>
      </c>
    </row>
    <row r="9" spans="1:8" x14ac:dyDescent="0.25">
      <c r="B9" s="1" t="s">
        <v>67</v>
      </c>
      <c r="C9" s="1" t="s">
        <v>13</v>
      </c>
      <c r="D9" s="7">
        <v>899.90773670651095</v>
      </c>
      <c r="E9" s="7">
        <v>965.63133545473897</v>
      </c>
      <c r="F9" s="7">
        <v>932.76953608062502</v>
      </c>
      <c r="G9" s="7">
        <v>46.4736023588557</v>
      </c>
      <c r="H9" s="7">
        <f t="shared" si="0"/>
        <v>1140.9093091898376</v>
      </c>
    </row>
    <row r="10" spans="1:8" x14ac:dyDescent="0.25">
      <c r="B10" s="1" t="s">
        <v>68</v>
      </c>
      <c r="C10" s="1" t="s">
        <v>14</v>
      </c>
      <c r="D10" s="7">
        <v>950.46435112822496</v>
      </c>
      <c r="E10" s="7">
        <v>965.63133545473897</v>
      </c>
      <c r="F10" s="7">
        <v>958.04784329148197</v>
      </c>
      <c r="G10" s="7">
        <v>10.7246774674281</v>
      </c>
      <c r="H10" s="7">
        <f t="shared" si="0"/>
        <v>1171.8282606583969</v>
      </c>
    </row>
    <row r="11" spans="1:8" x14ac:dyDescent="0.25">
      <c r="B11" s="1" t="s">
        <v>69</v>
      </c>
      <c r="C11" s="1" t="s">
        <v>15</v>
      </c>
      <c r="D11" s="7">
        <v>1001.02096554994</v>
      </c>
      <c r="E11" s="7">
        <v>1001.02096554994</v>
      </c>
      <c r="F11" s="7">
        <v>1001.02096554994</v>
      </c>
      <c r="G11" s="7">
        <v>0</v>
      </c>
      <c r="H11" s="7">
        <f t="shared" si="0"/>
        <v>1224.3904781549488</v>
      </c>
    </row>
    <row r="12" spans="1:8" x14ac:dyDescent="0.25">
      <c r="B12" s="1" t="s">
        <v>70</v>
      </c>
      <c r="C12" s="1" t="s">
        <v>16</v>
      </c>
      <c r="D12" s="7">
        <v>970.68699689691096</v>
      </c>
      <c r="E12" s="7">
        <v>829.12847651611105</v>
      </c>
      <c r="F12" s="7">
        <v>899.90773670651095</v>
      </c>
      <c r="G12" s="7">
        <v>100.096989695997</v>
      </c>
      <c r="H12" s="7">
        <f t="shared" si="0"/>
        <v>1100.7146722807106</v>
      </c>
    </row>
    <row r="13" spans="1:8" x14ac:dyDescent="0.25">
      <c r="B13" s="1" t="s">
        <v>71</v>
      </c>
      <c r="C13" s="1" t="s">
        <v>17</v>
      </c>
      <c r="D13" s="7">
        <v>429.73122258456999</v>
      </c>
      <c r="E13" s="7">
        <v>596.56805017622605</v>
      </c>
      <c r="F13" s="7">
        <v>513.14963638039796</v>
      </c>
      <c r="G13" s="7">
        <v>117.971452141711</v>
      </c>
      <c r="H13" s="7">
        <f t="shared" si="0"/>
        <v>627.65471481175348</v>
      </c>
    </row>
    <row r="14" spans="1:8" x14ac:dyDescent="0.25">
      <c r="B14" s="1" t="s">
        <v>72</v>
      </c>
      <c r="C14" s="1" t="s">
        <v>18</v>
      </c>
      <c r="D14" s="7">
        <v>262.89439499291399</v>
      </c>
      <c r="E14" s="7">
        <v>353.896300951998</v>
      </c>
      <c r="F14" s="7">
        <v>308.39534797245602</v>
      </c>
      <c r="G14" s="7">
        <v>64.348064804569404</v>
      </c>
      <c r="H14" s="7">
        <f t="shared" si="0"/>
        <v>377.2112079164234</v>
      </c>
    </row>
    <row r="15" spans="1:8" x14ac:dyDescent="0.25">
      <c r="B15" s="1" t="s">
        <v>73</v>
      </c>
      <c r="C15" s="1" t="s">
        <v>19</v>
      </c>
      <c r="D15" s="7">
        <v>844.29546084262597</v>
      </c>
      <c r="E15" s="7">
        <v>834.18413795828303</v>
      </c>
      <c r="F15" s="7">
        <v>839.23979940045399</v>
      </c>
      <c r="G15" s="7">
        <v>7.1497849782856102</v>
      </c>
      <c r="H15" s="7">
        <f t="shared" si="0"/>
        <v>1026.5091887561684</v>
      </c>
    </row>
    <row r="16" spans="1:8" x14ac:dyDescent="0.25">
      <c r="B16" s="1" t="s">
        <v>74</v>
      </c>
      <c r="C16" s="1" t="s">
        <v>20</v>
      </c>
      <c r="D16" s="7">
        <v>925.18604391736801</v>
      </c>
      <c r="E16" s="7">
        <v>879.68509093782598</v>
      </c>
      <c r="F16" s="7">
        <v>902.43556742759699</v>
      </c>
      <c r="G16" s="7">
        <v>32.174032402284801</v>
      </c>
      <c r="H16" s="7">
        <f t="shared" si="0"/>
        <v>1103.806567427567</v>
      </c>
    </row>
    <row r="17" spans="2:8" x14ac:dyDescent="0.25">
      <c r="B17" s="1" t="s">
        <v>75</v>
      </c>
      <c r="C17" s="1" t="s">
        <v>21</v>
      </c>
      <c r="D17" s="7">
        <v>813.96149218959704</v>
      </c>
      <c r="E17" s="7">
        <v>910.019059590854</v>
      </c>
      <c r="F17" s="7">
        <v>861.99027589022501</v>
      </c>
      <c r="G17" s="7">
        <v>67.922957293712599</v>
      </c>
      <c r="H17" s="7">
        <f t="shared" si="0"/>
        <v>1054.3362450778714</v>
      </c>
    </row>
    <row r="18" spans="2:8" x14ac:dyDescent="0.25">
      <c r="B18" s="1" t="s">
        <v>76</v>
      </c>
      <c r="C18" s="1" t="s">
        <v>22</v>
      </c>
      <c r="D18" s="7">
        <v>733.07090911485398</v>
      </c>
      <c r="E18" s="7">
        <v>854.406783726968</v>
      </c>
      <c r="F18" s="7">
        <v>793.73884642091105</v>
      </c>
      <c r="G18" s="7">
        <v>85.797419739426402</v>
      </c>
      <c r="H18" s="7">
        <f t="shared" si="0"/>
        <v>970.85507611276137</v>
      </c>
    </row>
    <row r="19" spans="2:8" x14ac:dyDescent="0.25">
      <c r="B19" s="1" t="s">
        <v>77</v>
      </c>
      <c r="C19" s="1" t="s">
        <v>23</v>
      </c>
      <c r="D19" s="7">
        <v>930.24170535953999</v>
      </c>
      <c r="E19" s="7">
        <v>1001.02096554994</v>
      </c>
      <c r="F19" s="7">
        <v>965.63133545473897</v>
      </c>
      <c r="G19" s="7">
        <v>50.048494847998398</v>
      </c>
      <c r="H19" s="7">
        <f t="shared" si="0"/>
        <v>1181.1039460989643</v>
      </c>
    </row>
    <row r="20" spans="2:8" x14ac:dyDescent="0.25">
      <c r="B20" s="1" t="s">
        <v>78</v>
      </c>
      <c r="C20" s="1" t="s">
        <v>24</v>
      </c>
      <c r="D20" s="7">
        <v>925.18604391736801</v>
      </c>
      <c r="E20" s="7">
        <v>915.07472103302496</v>
      </c>
      <c r="F20" s="7">
        <v>920.13038247519705</v>
      </c>
      <c r="G20" s="7">
        <v>7.1497849782856102</v>
      </c>
      <c r="H20" s="7">
        <f t="shared" si="0"/>
        <v>1125.4498334555587</v>
      </c>
    </row>
    <row r="21" spans="2:8" x14ac:dyDescent="0.25">
      <c r="B21" s="1" t="s">
        <v>79</v>
      </c>
      <c r="C21" s="1" t="s">
        <v>25</v>
      </c>
      <c r="D21" s="7">
        <v>546.01143575451204</v>
      </c>
      <c r="E21" s="7">
        <v>591.51238873405498</v>
      </c>
      <c r="F21" s="7">
        <v>568.76191224428396</v>
      </c>
      <c r="G21" s="7">
        <v>32.174032402284801</v>
      </c>
      <c r="H21" s="7">
        <f t="shared" si="0"/>
        <v>695.67640804258451</v>
      </c>
    </row>
    <row r="22" spans="2:8" x14ac:dyDescent="0.25">
      <c r="B22" s="1" t="s">
        <v>80</v>
      </c>
      <c r="C22" s="1" t="s">
        <v>26</v>
      </c>
      <c r="D22" s="7">
        <v>429.73122258456999</v>
      </c>
      <c r="E22" s="7">
        <v>515.67746710148401</v>
      </c>
      <c r="F22" s="7">
        <v>472.704344843027</v>
      </c>
      <c r="G22" s="7">
        <v>60.773172315427097</v>
      </c>
      <c r="H22" s="7">
        <f t="shared" si="0"/>
        <v>578.18439246205901</v>
      </c>
    </row>
    <row r="23" spans="2:8" x14ac:dyDescent="0.25">
      <c r="B23" s="1" t="s">
        <v>81</v>
      </c>
      <c r="C23" s="1" t="s">
        <v>27</v>
      </c>
      <c r="D23" s="7">
        <v>217.39344201337099</v>
      </c>
      <c r="E23" s="7">
        <v>262.89439499291302</v>
      </c>
      <c r="F23" s="7">
        <v>240.143918503142</v>
      </c>
      <c r="G23" s="7">
        <v>32.174032402284901</v>
      </c>
      <c r="H23" s="7">
        <f t="shared" si="0"/>
        <v>293.7300389513133</v>
      </c>
    </row>
    <row r="24" spans="2:8" x14ac:dyDescent="0.25">
      <c r="B24" s="1" t="s">
        <v>82</v>
      </c>
      <c r="C24" s="1" t="s">
        <v>28</v>
      </c>
      <c r="D24" s="7">
        <v>121.335874612114</v>
      </c>
      <c r="E24" s="7">
        <v>227.50476489771299</v>
      </c>
      <c r="F24" s="7">
        <v>174.420319754914</v>
      </c>
      <c r="G24" s="7">
        <v>75.072742271998095</v>
      </c>
      <c r="H24" s="7">
        <f t="shared" si="0"/>
        <v>213.34076513305956</v>
      </c>
    </row>
    <row r="25" spans="2:8" x14ac:dyDescent="0.25">
      <c r="B25" s="1" t="s">
        <v>83</v>
      </c>
      <c r="C25" s="1" t="s">
        <v>29</v>
      </c>
      <c r="D25" s="7">
        <v>945.408689686054</v>
      </c>
      <c r="E25" s="7">
        <v>990.90964266559604</v>
      </c>
      <c r="F25" s="7">
        <v>968.15916617582502</v>
      </c>
      <c r="G25" s="7">
        <v>32.174032402284801</v>
      </c>
      <c r="H25" s="7">
        <f t="shared" si="0"/>
        <v>1184.1958412458209</v>
      </c>
    </row>
    <row r="26" spans="2:8" x14ac:dyDescent="0.25">
      <c r="B26" s="1" t="s">
        <v>84</v>
      </c>
      <c r="C26" s="1" t="s">
        <v>30</v>
      </c>
      <c r="D26" s="7">
        <v>273.00571787725602</v>
      </c>
      <c r="E26" s="7">
        <v>293.22836364594201</v>
      </c>
      <c r="F26" s="7">
        <v>283.11704076159901</v>
      </c>
      <c r="G26" s="7">
        <v>14.2995699565711</v>
      </c>
      <c r="H26" s="7">
        <f t="shared" si="0"/>
        <v>346.29225644786413</v>
      </c>
    </row>
    <row r="27" spans="2:8" x14ac:dyDescent="0.25">
      <c r="B27" s="1" t="s">
        <v>85</v>
      </c>
      <c r="C27" s="1" t="s">
        <v>31</v>
      </c>
      <c r="D27" s="7">
        <v>237.61608778205601</v>
      </c>
      <c r="E27" s="7">
        <v>192.11513480251401</v>
      </c>
      <c r="F27" s="7">
        <v>214.865611292285</v>
      </c>
      <c r="G27" s="7">
        <v>32.174032402285</v>
      </c>
      <c r="H27" s="7">
        <f t="shared" si="0"/>
        <v>262.81108748275409</v>
      </c>
    </row>
    <row r="28" spans="2:8" x14ac:dyDescent="0.25">
      <c r="B28" s="1" t="s">
        <v>86</v>
      </c>
      <c r="C28" s="1" t="s">
        <v>32</v>
      </c>
      <c r="D28" s="7">
        <v>672.40297180879702</v>
      </c>
      <c r="E28" s="7">
        <v>697.68127901965397</v>
      </c>
      <c r="F28" s="7">
        <v>685.04212541422601</v>
      </c>
      <c r="G28" s="7">
        <v>17.874462445713799</v>
      </c>
      <c r="H28" s="7">
        <f t="shared" si="0"/>
        <v>837.90358479795668</v>
      </c>
    </row>
    <row r="29" spans="2:8" x14ac:dyDescent="0.25">
      <c r="B29" s="1" t="s">
        <v>87</v>
      </c>
      <c r="C29" s="1" t="s">
        <v>33</v>
      </c>
      <c r="D29" s="7">
        <v>591.51238873405498</v>
      </c>
      <c r="E29" s="7">
        <v>561.17842008102605</v>
      </c>
      <c r="F29" s="7">
        <v>576.34540440754097</v>
      </c>
      <c r="G29" s="7">
        <v>21.449354934856601</v>
      </c>
      <c r="H29" s="7">
        <f t="shared" si="0"/>
        <v>704.95209348315211</v>
      </c>
    </row>
    <row r="30" spans="2:8" x14ac:dyDescent="0.25">
      <c r="B30" s="1" t="s">
        <v>88</v>
      </c>
      <c r="C30" s="1" t="s">
        <v>34</v>
      </c>
      <c r="D30" s="7">
        <v>237.61608778205601</v>
      </c>
      <c r="E30" s="7">
        <v>288.17270220376997</v>
      </c>
      <c r="F30" s="7">
        <v>262.89439499291302</v>
      </c>
      <c r="G30" s="7">
        <v>35.748924891427599</v>
      </c>
      <c r="H30" s="7">
        <f t="shared" si="0"/>
        <v>321.55709527301627</v>
      </c>
    </row>
    <row r="31" spans="2:8" x14ac:dyDescent="0.25">
      <c r="B31" s="1" t="s">
        <v>35</v>
      </c>
      <c r="C31" s="1" t="s">
        <v>36</v>
      </c>
      <c r="D31" s="7">
        <v>672.40297180879702</v>
      </c>
      <c r="E31" s="7">
        <v>758.34921632571104</v>
      </c>
      <c r="F31" s="7">
        <v>715.37609406725403</v>
      </c>
      <c r="G31" s="7">
        <v>60.773172315426997</v>
      </c>
      <c r="H31" s="7">
        <f t="shared" si="0"/>
        <v>875.00632656022731</v>
      </c>
    </row>
    <row r="32" spans="2:8" x14ac:dyDescent="0.35">
      <c r="B32" s="1" t="s">
        <v>89</v>
      </c>
      <c r="C32" s="1" t="s">
        <v>37</v>
      </c>
      <c r="D32" s="7">
        <v>1157.7464702572499</v>
      </c>
      <c r="E32" s="7">
        <v>1092.02287150902</v>
      </c>
      <c r="F32" s="7">
        <v>1124.88467088314</v>
      </c>
      <c r="G32" s="7">
        <v>46.473602358856297</v>
      </c>
      <c r="H32" s="8">
        <v>1375.89334035089</v>
      </c>
    </row>
    <row r="34" spans="1:8" x14ac:dyDescent="0.25">
      <c r="A34" s="6">
        <v>45449</v>
      </c>
      <c r="B34" s="1" t="s">
        <v>90</v>
      </c>
      <c r="C34" s="1" t="s">
        <v>38</v>
      </c>
      <c r="D34" s="7">
        <v>543.54250423645703</v>
      </c>
      <c r="E34" s="7">
        <v>614.66021507113305</v>
      </c>
      <c r="F34" s="7">
        <v>579.10135965379504</v>
      </c>
      <c r="G34" s="7">
        <v>50.287815593663701</v>
      </c>
      <c r="H34" s="7">
        <f>F34/$F$44*$H$44</f>
        <v>698.6718966592498</v>
      </c>
    </row>
    <row r="35" spans="1:8" x14ac:dyDescent="0.25">
      <c r="B35" s="1" t="s">
        <v>91</v>
      </c>
      <c r="C35" s="1" t="s">
        <v>39</v>
      </c>
      <c r="D35" s="7">
        <v>767.05530971686903</v>
      </c>
      <c r="E35" s="7">
        <v>822.93351108697198</v>
      </c>
      <c r="F35" s="7">
        <v>794.99441040192005</v>
      </c>
      <c r="G35" s="7">
        <v>39.511855109307398</v>
      </c>
      <c r="H35" s="7">
        <f t="shared" ref="H35:H43" si="1">F35/$F$44*$H$44</f>
        <v>959.14168269449601</v>
      </c>
    </row>
    <row r="36" spans="1:8" x14ac:dyDescent="0.25">
      <c r="B36" s="1" t="s">
        <v>92</v>
      </c>
      <c r="C36" s="1" t="s">
        <v>40</v>
      </c>
      <c r="D36" s="7">
        <v>568.94168667741303</v>
      </c>
      <c r="E36" s="7">
        <v>614.66021507113305</v>
      </c>
      <c r="F36" s="7">
        <v>591.80095087427298</v>
      </c>
      <c r="G36" s="7">
        <v>32.327881453069502</v>
      </c>
      <c r="H36" s="7">
        <f t="shared" si="1"/>
        <v>713.99364877897005</v>
      </c>
    </row>
    <row r="37" spans="1:8" x14ac:dyDescent="0.25">
      <c r="B37" s="1" t="s">
        <v>93</v>
      </c>
      <c r="C37" s="1" t="s">
        <v>41</v>
      </c>
      <c r="D37" s="7">
        <v>121.916075716588</v>
      </c>
      <c r="E37" s="7">
        <v>142.235421669353</v>
      </c>
      <c r="F37" s="7">
        <v>132.07574869297099</v>
      </c>
      <c r="G37" s="7">
        <v>14.367947312475501</v>
      </c>
      <c r="H37" s="7">
        <f t="shared" si="1"/>
        <v>159.3462220450923</v>
      </c>
    </row>
    <row r="38" spans="1:8" x14ac:dyDescent="0.25">
      <c r="B38" s="1" t="s">
        <v>94</v>
      </c>
      <c r="C38" s="1" t="s">
        <v>42</v>
      </c>
      <c r="D38" s="7">
        <v>797.53432864601598</v>
      </c>
      <c r="E38" s="7">
        <v>797.53432864601598</v>
      </c>
      <c r="F38" s="7">
        <v>797.53432864601598</v>
      </c>
      <c r="G38" s="7">
        <v>0</v>
      </c>
      <c r="H38" s="7">
        <f t="shared" si="1"/>
        <v>962.20603311844047</v>
      </c>
    </row>
    <row r="39" spans="1:8" x14ac:dyDescent="0.25">
      <c r="B39" s="1" t="s">
        <v>95</v>
      </c>
      <c r="C39" s="1" t="s">
        <v>43</v>
      </c>
      <c r="D39" s="7">
        <v>497.82397584273599</v>
      </c>
      <c r="E39" s="7">
        <v>645.13923400028</v>
      </c>
      <c r="F39" s="7">
        <v>571.48160492150805</v>
      </c>
      <c r="G39" s="7">
        <v>104.167618015446</v>
      </c>
      <c r="H39" s="7">
        <f t="shared" si="1"/>
        <v>689.47884538741732</v>
      </c>
    </row>
    <row r="40" spans="1:8" x14ac:dyDescent="0.25">
      <c r="B40" s="1" t="s">
        <v>96</v>
      </c>
      <c r="C40" s="1" t="s">
        <v>44</v>
      </c>
      <c r="D40" s="7">
        <v>441.94577447263299</v>
      </c>
      <c r="E40" s="7">
        <v>431.78610149625098</v>
      </c>
      <c r="F40" s="7">
        <v>436.86593798444198</v>
      </c>
      <c r="G40" s="7">
        <v>7.1839736562376402</v>
      </c>
      <c r="H40" s="7">
        <f t="shared" si="1"/>
        <v>527.06827291838158</v>
      </c>
    </row>
    <row r="41" spans="1:8" x14ac:dyDescent="0.25">
      <c r="B41" s="1" t="s">
        <v>97</v>
      </c>
      <c r="C41" s="1" t="s">
        <v>45</v>
      </c>
      <c r="D41" s="7">
        <v>497.82397584273599</v>
      </c>
      <c r="E41" s="7">
        <v>502.903812330927</v>
      </c>
      <c r="F41" s="7">
        <v>500.36389408683198</v>
      </c>
      <c r="G41" s="7">
        <v>3.59198682811896</v>
      </c>
      <c r="H41" s="7">
        <f t="shared" si="1"/>
        <v>603.67703351698367</v>
      </c>
    </row>
    <row r="42" spans="1:8" x14ac:dyDescent="0.25">
      <c r="B42" s="1" t="s">
        <v>98</v>
      </c>
      <c r="C42" s="1" t="s">
        <v>46</v>
      </c>
      <c r="D42" s="7">
        <v>243.83215143317699</v>
      </c>
      <c r="E42" s="7">
        <v>223.512805480412</v>
      </c>
      <c r="F42" s="7">
        <v>233.67247845679501</v>
      </c>
      <c r="G42" s="7">
        <v>14.367947312475399</v>
      </c>
      <c r="H42" s="7">
        <f t="shared" si="1"/>
        <v>281.92023900285579</v>
      </c>
    </row>
    <row r="43" spans="1:8" x14ac:dyDescent="0.25">
      <c r="B43" s="1" t="s">
        <v>35</v>
      </c>
      <c r="C43" s="1" t="s">
        <v>36</v>
      </c>
      <c r="D43" s="7">
        <v>751.81580025229505</v>
      </c>
      <c r="E43" s="7">
        <v>634.97956102389799</v>
      </c>
      <c r="F43" s="7">
        <v>693.39768063809697</v>
      </c>
      <c r="G43" s="7">
        <v>82.6156970467337</v>
      </c>
      <c r="H43" s="7">
        <f t="shared" si="1"/>
        <v>836.56766573673372</v>
      </c>
    </row>
    <row r="44" spans="1:8" x14ac:dyDescent="0.35">
      <c r="B44" s="1" t="s">
        <v>89</v>
      </c>
      <c r="C44" s="1" t="s">
        <v>37</v>
      </c>
      <c r="D44" s="7">
        <v>1137.8833733548299</v>
      </c>
      <c r="E44" s="7">
        <v>1142.96320984302</v>
      </c>
      <c r="F44" s="7">
        <v>1140.4232915989201</v>
      </c>
      <c r="G44" s="7">
        <v>3.5919868281188401</v>
      </c>
      <c r="H44" s="8">
        <v>1375.89334035089</v>
      </c>
    </row>
    <row r="46" spans="1:8" x14ac:dyDescent="0.25">
      <c r="A46" s="6">
        <v>45453</v>
      </c>
      <c r="B46" s="1" t="s">
        <v>99</v>
      </c>
      <c r="C46" s="1" t="s">
        <v>47</v>
      </c>
      <c r="D46" s="7">
        <v>1023.6693874266</v>
      </c>
      <c r="E46" s="7">
        <v>1068.1767520973201</v>
      </c>
      <c r="F46" s="7">
        <v>1045.9230697619601</v>
      </c>
      <c r="G46" s="7">
        <v>31.4714593714099</v>
      </c>
      <c r="H46" s="7">
        <f>F46/$F$56*$H$56</f>
        <v>1001.7261324757789</v>
      </c>
    </row>
    <row r="47" spans="1:8" x14ac:dyDescent="0.25">
      <c r="B47" s="1" t="s">
        <v>100</v>
      </c>
      <c r="C47" s="1" t="s">
        <v>48</v>
      </c>
      <c r="D47" s="7">
        <v>618.15784264890999</v>
      </c>
      <c r="E47" s="7">
        <v>637.93889361367496</v>
      </c>
      <c r="F47" s="7">
        <v>628.04836813129305</v>
      </c>
      <c r="G47" s="7">
        <v>13.987315276182001</v>
      </c>
      <c r="H47" s="7">
        <f t="shared" ref="H47:H55" si="2">F47/$F$56*$H$56</f>
        <v>601.5093088625224</v>
      </c>
    </row>
    <row r="48" spans="1:8" x14ac:dyDescent="0.25">
      <c r="B48" s="1" t="s">
        <v>101</v>
      </c>
      <c r="C48" s="1" t="s">
        <v>49</v>
      </c>
      <c r="D48" s="7">
        <v>707.17257199035305</v>
      </c>
      <c r="E48" s="7">
        <v>687.39152102558796</v>
      </c>
      <c r="F48" s="7">
        <v>697.28204650797102</v>
      </c>
      <c r="G48" s="7">
        <v>13.9873152761818</v>
      </c>
      <c r="H48" s="7">
        <f t="shared" si="2"/>
        <v>667.81742165051708</v>
      </c>
    </row>
    <row r="49" spans="1:8" x14ac:dyDescent="0.25">
      <c r="B49" s="1" t="s">
        <v>102</v>
      </c>
      <c r="C49" s="1" t="s">
        <v>50</v>
      </c>
      <c r="D49" s="7">
        <v>865.42097970847396</v>
      </c>
      <c r="E49" s="7">
        <v>900.03781889681295</v>
      </c>
      <c r="F49" s="7">
        <v>882.72939930264397</v>
      </c>
      <c r="G49" s="7">
        <v>24.477801733318699</v>
      </c>
      <c r="H49" s="7">
        <f t="shared" si="2"/>
        <v>845.42843804693098</v>
      </c>
    </row>
    <row r="50" spans="1:8" x14ac:dyDescent="0.25">
      <c r="B50" s="1" t="s">
        <v>103</v>
      </c>
      <c r="C50" s="1" t="s">
        <v>51</v>
      </c>
      <c r="D50" s="7">
        <v>1355.00199108641</v>
      </c>
      <c r="E50" s="7">
        <v>1389.6188302747501</v>
      </c>
      <c r="F50" s="7">
        <v>1372.3104106805799</v>
      </c>
      <c r="G50" s="7">
        <v>24.477801733318799</v>
      </c>
      <c r="H50" s="7">
        <f t="shared" si="2"/>
        <v>1314.3215213334631</v>
      </c>
    </row>
    <row r="51" spans="1:8" x14ac:dyDescent="0.25">
      <c r="B51" s="1" t="s">
        <v>104</v>
      </c>
      <c r="C51" s="1" t="s">
        <v>52</v>
      </c>
      <c r="D51" s="7">
        <v>1176.9725324035201</v>
      </c>
      <c r="E51" s="7">
        <v>1246.2062107802001</v>
      </c>
      <c r="F51" s="7">
        <v>1211.5893715918601</v>
      </c>
      <c r="G51" s="7">
        <v>48.955603466637797</v>
      </c>
      <c r="H51" s="7">
        <f t="shared" si="2"/>
        <v>1160.3919737899014</v>
      </c>
    </row>
    <row r="52" spans="1:8" x14ac:dyDescent="0.25">
      <c r="B52" s="1" t="s">
        <v>105</v>
      </c>
      <c r="C52" s="1" t="s">
        <v>53</v>
      </c>
      <c r="D52" s="7">
        <v>707.17257199035305</v>
      </c>
      <c r="E52" s="7">
        <v>801.13256407298798</v>
      </c>
      <c r="F52" s="7">
        <v>754.15256803166994</v>
      </c>
      <c r="G52" s="7">
        <v>66.439747561865403</v>
      </c>
      <c r="H52" s="7">
        <f t="shared" si="2"/>
        <v>722.28480001208322</v>
      </c>
    </row>
    <row r="53" spans="1:8" x14ac:dyDescent="0.25">
      <c r="B53" s="1" t="s">
        <v>106</v>
      </c>
      <c r="C53" s="1" t="s">
        <v>54</v>
      </c>
      <c r="D53" s="7">
        <v>4.9452627411912102</v>
      </c>
      <c r="E53" s="7">
        <v>0</v>
      </c>
      <c r="F53" s="7">
        <v>0</v>
      </c>
      <c r="G53" s="7">
        <v>6.9936576380909603</v>
      </c>
      <c r="H53" s="7">
        <f t="shared" si="2"/>
        <v>0</v>
      </c>
    </row>
    <row r="54" spans="1:8" x14ac:dyDescent="0.25">
      <c r="B54" s="1" t="s">
        <v>107</v>
      </c>
      <c r="C54" s="1" t="s">
        <v>55</v>
      </c>
      <c r="D54" s="7">
        <v>632.993630872484</v>
      </c>
      <c r="E54" s="7">
        <v>588.48626620176299</v>
      </c>
      <c r="F54" s="7">
        <v>610.73994853712304</v>
      </c>
      <c r="G54" s="7">
        <v>31.471459371409701</v>
      </c>
      <c r="H54" s="7">
        <f t="shared" si="2"/>
        <v>584.93228066552331</v>
      </c>
    </row>
    <row r="55" spans="1:8" x14ac:dyDescent="0.25">
      <c r="B55" s="1" t="s">
        <v>35</v>
      </c>
      <c r="C55" s="1" t="s">
        <v>36</v>
      </c>
      <c r="D55" s="7">
        <v>751.67993666107498</v>
      </c>
      <c r="E55" s="7">
        <v>806.07782681417905</v>
      </c>
      <c r="F55" s="7">
        <v>778.87888173762701</v>
      </c>
      <c r="G55" s="7">
        <v>38.465117009500901</v>
      </c>
      <c r="H55" s="7">
        <f t="shared" si="2"/>
        <v>745.96626886493902</v>
      </c>
    </row>
    <row r="56" spans="1:8" x14ac:dyDescent="0.35">
      <c r="B56" s="1" t="s">
        <v>89</v>
      </c>
      <c r="C56" s="1" t="s">
        <v>37</v>
      </c>
      <c r="D56" s="7">
        <v>1444.01672042785</v>
      </c>
      <c r="E56" s="7">
        <v>1429.18093220428</v>
      </c>
      <c r="F56" s="7">
        <v>1436.59882631607</v>
      </c>
      <c r="G56" s="7">
        <v>10.490486457136599</v>
      </c>
      <c r="H56" s="8">
        <v>1375.89334035089</v>
      </c>
    </row>
    <row r="58" spans="1:8" x14ac:dyDescent="0.25">
      <c r="A58" s="6">
        <v>45458</v>
      </c>
      <c r="B58" s="1" t="s">
        <v>108</v>
      </c>
      <c r="C58" s="1" t="s">
        <v>56</v>
      </c>
      <c r="D58" s="7">
        <v>798.89505551140496</v>
      </c>
      <c r="E58" s="7">
        <v>804.08268574199803</v>
      </c>
      <c r="F58" s="7">
        <v>801.48887062670099</v>
      </c>
      <c r="G58" s="7">
        <v>3.6682085143410199</v>
      </c>
      <c r="H58" s="7">
        <f>F58/$F$64*$H$64</f>
        <v>763.28732884815929</v>
      </c>
    </row>
    <row r="59" spans="1:8" x14ac:dyDescent="0.25">
      <c r="B59" s="1" t="s">
        <v>109</v>
      </c>
      <c r="C59" s="1" t="s">
        <v>57</v>
      </c>
      <c r="D59" s="7">
        <v>503.20013236757302</v>
      </c>
      <c r="E59" s="7">
        <v>404.63515798629601</v>
      </c>
      <c r="F59" s="7">
        <v>453.917645176934</v>
      </c>
      <c r="G59" s="7">
        <v>69.695961772479706</v>
      </c>
      <c r="H59" s="7">
        <f t="shared" ref="H59:H63" si="3">F59/$F$64*$H$64</f>
        <v>432.28246779426479</v>
      </c>
    </row>
    <row r="60" spans="1:8" x14ac:dyDescent="0.25">
      <c r="B60" s="1" t="s">
        <v>110</v>
      </c>
      <c r="C60" s="1" t="s">
        <v>58</v>
      </c>
      <c r="D60" s="7">
        <v>285.319662682645</v>
      </c>
      <c r="E60" s="7">
        <v>321.63307429679901</v>
      </c>
      <c r="F60" s="7">
        <v>303.47636848972201</v>
      </c>
      <c r="G60" s="7">
        <v>25.6774596003869</v>
      </c>
      <c r="H60" s="7">
        <f t="shared" si="3"/>
        <v>289.01170703959457</v>
      </c>
    </row>
    <row r="61" spans="1:8" x14ac:dyDescent="0.25">
      <c r="B61" s="1" t="s">
        <v>111</v>
      </c>
      <c r="C61" s="1" t="s">
        <v>59</v>
      </c>
      <c r="D61" s="7">
        <v>171.19179760958701</v>
      </c>
      <c r="E61" s="7">
        <v>129.690755764838</v>
      </c>
      <c r="F61" s="7">
        <v>150.44127668721299</v>
      </c>
      <c r="G61" s="7">
        <v>29.345668114728301</v>
      </c>
      <c r="H61" s="7">
        <f t="shared" si="3"/>
        <v>143.27076075467116</v>
      </c>
    </row>
    <row r="62" spans="1:8" x14ac:dyDescent="0.25">
      <c r="B62" s="1" t="s">
        <v>112</v>
      </c>
      <c r="C62" s="1" t="s">
        <v>60</v>
      </c>
      <c r="D62" s="7">
        <v>368.32174637214098</v>
      </c>
      <c r="E62" s="7">
        <v>321.63307429679901</v>
      </c>
      <c r="F62" s="7">
        <v>344.97741033446999</v>
      </c>
      <c r="G62" s="7">
        <v>33.013876629069301</v>
      </c>
      <c r="H62" s="7">
        <f t="shared" si="3"/>
        <v>328.5346755236414</v>
      </c>
    </row>
    <row r="63" spans="1:8" x14ac:dyDescent="0.25">
      <c r="B63" s="1" t="s">
        <v>35</v>
      </c>
      <c r="C63" s="1" t="s">
        <v>36</v>
      </c>
      <c r="D63" s="7">
        <v>778.14453458903097</v>
      </c>
      <c r="E63" s="7">
        <v>767.769274127843</v>
      </c>
      <c r="F63" s="7">
        <v>772.95690435843699</v>
      </c>
      <c r="G63" s="7">
        <v>7.3364170286822699</v>
      </c>
      <c r="H63" s="7">
        <f t="shared" si="3"/>
        <v>736.11528801537747</v>
      </c>
    </row>
    <row r="64" spans="1:8" x14ac:dyDescent="0.35">
      <c r="B64" s="1" t="s">
        <v>89</v>
      </c>
      <c r="C64" s="1" t="s">
        <v>37</v>
      </c>
      <c r="D64" s="7">
        <v>1431.78594364382</v>
      </c>
      <c r="E64" s="7">
        <v>1457.72409479678</v>
      </c>
      <c r="F64" s="7">
        <v>1444.7550192203</v>
      </c>
      <c r="G64" s="7">
        <v>18.341042571705</v>
      </c>
      <c r="H64" s="8">
        <v>1375.89334035089</v>
      </c>
    </row>
    <row r="65" spans="1:8" s="9" customFormat="1" x14ac:dyDescent="0.25">
      <c r="A65" s="11"/>
      <c r="B65" s="11"/>
      <c r="C65" s="11"/>
      <c r="D65" s="11"/>
      <c r="E65" s="11"/>
      <c r="F65" s="11"/>
      <c r="G65" s="11"/>
      <c r="H65" s="11"/>
    </row>
  </sheetData>
  <mergeCells count="2">
    <mergeCell ref="A1:H1"/>
    <mergeCell ref="A65:H65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2026-01-04T10:50:42Z</dcterms:created>
  <dcterms:modified xsi:type="dcterms:W3CDTF">2026-04-29T12:09:52Z</dcterms:modified>
</cp:coreProperties>
</file>