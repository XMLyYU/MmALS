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V5-260111\Test Data\"/>
    </mc:Choice>
  </mc:AlternateContent>
  <xr:revisionPtr revIDLastSave="0" documentId="13_ncr:1_{9DD04309-A7C6-4C5F-BA5E-068B4297CB57}" xr6:coauthVersionLast="47" xr6:coauthVersionMax="47" xr10:uidLastSave="{00000000-0000-0000-0000-000000000000}"/>
  <bookViews>
    <workbookView xWindow="-110" yWindow="-110" windowWidth="21820" windowHeight="13900" xr2:uid="{3F02BB72-F2A0-4ACE-A8B4-EB983E46625D}"/>
  </bookViews>
  <sheets>
    <sheet name="Table S9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H63" i="1"/>
  <c r="H62" i="1"/>
  <c r="H61" i="1"/>
  <c r="H60" i="1"/>
  <c r="H59" i="1"/>
  <c r="H58" i="1"/>
  <c r="H57" i="1"/>
  <c r="H54" i="1"/>
  <c r="H53" i="1"/>
  <c r="H52" i="1"/>
  <c r="H49" i="1"/>
  <c r="H48" i="1"/>
  <c r="H47" i="1"/>
  <c r="H46" i="1"/>
  <c r="H45" i="1"/>
  <c r="H44" i="1"/>
  <c r="H43" i="1"/>
  <c r="H42" i="1"/>
  <c r="H41" i="1"/>
  <c r="H40" i="1"/>
  <c r="H39" i="1"/>
  <c r="H36" i="1"/>
  <c r="H35" i="1"/>
  <c r="H34" i="1"/>
  <c r="H33" i="1"/>
  <c r="H32" i="1"/>
  <c r="H31" i="1"/>
  <c r="H30" i="1"/>
  <c r="H29" i="1"/>
  <c r="H28" i="1"/>
  <c r="H27" i="1"/>
  <c r="H24" i="1"/>
  <c r="H23" i="1"/>
  <c r="H22" i="1"/>
  <c r="H21" i="1"/>
  <c r="H20" i="1"/>
  <c r="H19" i="1"/>
  <c r="H18" i="1"/>
  <c r="H17" i="1"/>
  <c r="H16" i="1"/>
  <c r="H15" i="1"/>
</calcChain>
</file>

<file path=xl/sharedStrings.xml><?xml version="1.0" encoding="utf-8"?>
<sst xmlns="http://schemas.openxmlformats.org/spreadsheetml/2006/main" count="125" uniqueCount="115">
  <si>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</si>
  <si>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</si>
  <si>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</si>
  <si>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</si>
  <si>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</si>
  <si>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</si>
  <si>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</si>
  <si>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</si>
  <si>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S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</si>
  <si>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G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</si>
  <si>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</si>
  <si>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</si>
  <si>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</si>
  <si>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</si>
  <si>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</si>
  <si>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GN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</si>
  <si>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IDENGNAVNMPIVEE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</si>
  <si>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</si>
  <si>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G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</si>
  <si>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</si>
  <si>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</si>
  <si>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</si>
  <si>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Y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</si>
  <si>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I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</si>
  <si>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S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</si>
  <si>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S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</si>
  <si>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E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</si>
  <si>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SN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</si>
  <si>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</si>
  <si>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</si>
  <si>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D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</si>
  <si>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</si>
  <si>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S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</si>
  <si>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Q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</si>
  <si>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GD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</si>
  <si>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G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</si>
  <si>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NGS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</si>
  <si>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SGNAVNMPIVEEWKCPYHNGRMCLEIIKRVD</t>
  </si>
  <si>
    <t>MDITRFKEDLKAHLEEKIIPFWQSLKDDEFGGYYGYMDFNLNIDRKAI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</si>
  <si>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EKAI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</si>
  <si>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FAP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</si>
  <si>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Y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</si>
  <si>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</si>
  <si>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</si>
  <si>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Q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</si>
  <si>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S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</si>
  <si>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Y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</si>
  <si>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T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</si>
  <si>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LPV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</si>
  <si>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KR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</si>
  <si>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Q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</si>
  <si>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S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</si>
  <si>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Y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</si>
  <si>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A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</si>
  <si>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LVEDRIDRSKIWWVEAETVVGFFNAYQKTKEEKYLDAAIKTWEFIKEHLVDRRKNSEWLWKVDESLNAVNMPIVEEWKCPYHNGRMCLEIIKRVD</t>
  </si>
  <si>
    <t>MDITRFKEDLKAHLEEKIIPFWQSLKDDEFGGYYGYMDFNLNIDRYAP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</si>
  <si>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YAN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</si>
  <si>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KQ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</si>
  <si>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H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</si>
  <si>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SVSEWKCPYHNGRMCLEIIKRVD</t>
  </si>
  <si>
    <t>Note: The green background indicates the hit variants.</t>
    <phoneticPr fontId="3" type="noConversion"/>
  </si>
  <si>
    <t>E174P,N358D,E359S,L361G,E362N,Q371E</t>
    <phoneticPr fontId="3" type="noConversion"/>
  </si>
  <si>
    <t>E174P,K356M,N358D,D360S,L361G,E362K,Q371E</t>
    <phoneticPr fontId="3" type="noConversion"/>
  </si>
  <si>
    <t>E174P,K356M,N358D,D360G,L361G,E362K,Q371E</t>
    <phoneticPr fontId="3" type="noConversion"/>
  </si>
  <si>
    <t>E174P,K356M,N358D,D360N,L361G,E362N,Q371E</t>
    <phoneticPr fontId="3" type="noConversion"/>
  </si>
  <si>
    <t>E174P,K356Q,N358D,D360Y,L361G,E362N,Q371E</t>
    <phoneticPr fontId="3" type="noConversion"/>
  </si>
  <si>
    <t>E174P,K356M,N358D,D360S,L361G,E362N,Q371E</t>
    <phoneticPr fontId="3" type="noConversion"/>
  </si>
  <si>
    <t>E174P,K356R,N358D,D360S,L361G,E362N,Q371E</t>
    <phoneticPr fontId="3" type="noConversion"/>
  </si>
  <si>
    <t>E174P,K356R,N358D,D360Y,L361G,E362N,Q371E</t>
    <phoneticPr fontId="3" type="noConversion"/>
  </si>
  <si>
    <t>E174P,K356Q,N358D,E359G,D360N,L361G,E362N,Q371E</t>
    <phoneticPr fontId="3" type="noConversion"/>
  </si>
  <si>
    <t>E174P,K356M,V357I,N358D,D360N,L361G,E362N,Q371E</t>
    <phoneticPr fontId="3" type="noConversion"/>
  </si>
  <si>
    <t>E174P,N358D,D360G,L361G,E362N,Q371E</t>
    <phoneticPr fontId="3" type="noConversion"/>
  </si>
  <si>
    <t>E174P,K356M,N358D,E359S,L361G,E362N,Q371E</t>
    <phoneticPr fontId="3" type="noConversion"/>
  </si>
  <si>
    <t>E174P,K356M,N358D,D360Y,L361G,E362N,Q371E</t>
    <phoneticPr fontId="3" type="noConversion"/>
  </si>
  <si>
    <t>E174P,K356Q,N358D,E359S,L361G,E362N,Q371E</t>
    <phoneticPr fontId="3" type="noConversion"/>
  </si>
  <si>
    <t>E174P,K356M,N358D,D360Y,L361G,E362K,Q371E</t>
    <phoneticPr fontId="3" type="noConversion"/>
  </si>
  <si>
    <t>E174P,V357I,N358D,D360S,L361G,E362N,Q371E</t>
    <phoneticPr fontId="3" type="noConversion"/>
  </si>
  <si>
    <t>E174P,K356Q,N358D,D360S,L361G,E362K,Q371E</t>
    <phoneticPr fontId="3" type="noConversion"/>
  </si>
  <si>
    <t>E174P,K356R,N358D,D360S,L361G,E362K,Q371E</t>
    <phoneticPr fontId="3" type="noConversion"/>
  </si>
  <si>
    <t>E174P,K356M,N358D,E359S,D360E,L361G,E362N,Q371E</t>
    <phoneticPr fontId="3" type="noConversion"/>
  </si>
  <si>
    <t>E174P,K356Q,N358D,E359S,D360N,L361G,E362N,Q371E</t>
    <phoneticPr fontId="3" type="noConversion"/>
  </si>
  <si>
    <t>Q371E</t>
    <phoneticPr fontId="3" type="noConversion"/>
  </si>
  <si>
    <t>E174P,N358D,D360S,L361G,E362N,Q371E</t>
    <phoneticPr fontId="3" type="noConversion"/>
  </si>
  <si>
    <t>E174P,N358D,D360Y,L361G,E362N,Q371E</t>
    <phoneticPr fontId="3" type="noConversion"/>
  </si>
  <si>
    <t>E174P,K356M,N358D,E359S,L361G,E362K,Q371E</t>
    <phoneticPr fontId="3" type="noConversion"/>
  </si>
  <si>
    <t>E174P,K356R,N358D,E359S,L361G,E362N,Q371E</t>
    <phoneticPr fontId="3" type="noConversion"/>
  </si>
  <si>
    <t>E174P,K356M,N358D,D360N,L361G,E362S,Q371E</t>
    <phoneticPr fontId="3" type="noConversion"/>
  </si>
  <si>
    <t>E174P,K356M,N358D,E359Q,L361G,E362N,Q371E</t>
    <phoneticPr fontId="3" type="noConversion"/>
  </si>
  <si>
    <t>E174P,K356M,N358D,E359G,L361G,E362K,Q371E</t>
    <phoneticPr fontId="3" type="noConversion"/>
  </si>
  <si>
    <t>E174P,K356M,N358D,D360N,L361G,E362G,Q371E</t>
    <phoneticPr fontId="3" type="noConversion"/>
  </si>
  <si>
    <t>E174P,K356R,N358D,D360N,L361G,E362S,Q371E</t>
    <phoneticPr fontId="3" type="noConversion"/>
  </si>
  <si>
    <t>E174P,K356Q,N358D,D360S,L361G,E362N,Q371E</t>
    <phoneticPr fontId="3" type="noConversion"/>
  </si>
  <si>
    <t>Q48I,E174P,N358D,D360S,E362N,Q371E</t>
    <phoneticPr fontId="3" type="noConversion"/>
  </si>
  <si>
    <t>R45E,Q48I,E174P,N358D,D360S,E362N,Q371E</t>
    <phoneticPr fontId="3" type="noConversion"/>
  </si>
  <si>
    <t>K46F,Q48P,E174P,N358D,D360S,E362N,Q371E</t>
    <phoneticPr fontId="3" type="noConversion"/>
  </si>
  <si>
    <t>E174P,N358D,D360S,E362N,M366Y,E370S,Q371E</t>
    <phoneticPr fontId="3" type="noConversion"/>
  </si>
  <si>
    <t>E174P,N358D,D360S,E362N,M366E,E370D,Q371E</t>
    <phoneticPr fontId="3" type="noConversion"/>
  </si>
  <si>
    <t>E174P,N358D,D360S,E362N,M366E,E370S,Q371E</t>
    <phoneticPr fontId="3" type="noConversion"/>
  </si>
  <si>
    <t>E174P,N358D,D360S,E362N,M366Q,E370D,Q371E</t>
    <phoneticPr fontId="3" type="noConversion"/>
  </si>
  <si>
    <t>E174P,N358D,D360S,E362N,N365P,M366S,E370S,Q371E</t>
    <phoneticPr fontId="3" type="noConversion"/>
  </si>
  <si>
    <t>E174P,N358D,D360S,E362N,N365P,M366Y,E370D,Q371E</t>
    <phoneticPr fontId="3" type="noConversion"/>
  </si>
  <si>
    <t>E174P,N358D,D360S,E362N,M366E,I368T,E370S,Q371E</t>
    <phoneticPr fontId="3" type="noConversion"/>
  </si>
  <si>
    <t>E174P,N358D,D360S,E362N,M366L,I368V,E370S,Q371E</t>
    <phoneticPr fontId="3" type="noConversion"/>
  </si>
  <si>
    <t>E174P,M296K,I297R,N358D,D360S,E362N,Q371E</t>
    <phoneticPr fontId="3" type="noConversion"/>
  </si>
  <si>
    <t>E174P,N358D,D360S,E362N,N365P,M366Q,E370S,Q371E</t>
    <phoneticPr fontId="3" type="noConversion"/>
  </si>
  <si>
    <t>E174P,N358D,D360S,E362N,N365P,M366S,E370D,Q371E</t>
    <phoneticPr fontId="3" type="noConversion"/>
  </si>
  <si>
    <t>E174P,K356M,N358D,D360N,L361Y,E362N,Q371E</t>
    <phoneticPr fontId="3" type="noConversion"/>
  </si>
  <si>
    <t>E174P,N358D,D360S,E362N,M366A,E370S,Q371E</t>
    <phoneticPr fontId="3" type="noConversion"/>
  </si>
  <si>
    <t>E174P,M296L,I297V,N358D,D360S,E362N,Q371E</t>
    <phoneticPr fontId="3" type="noConversion"/>
  </si>
  <si>
    <t>K46Y,Q48P,E174P,N358D,D360S,E362N,Q371E</t>
    <phoneticPr fontId="3" type="noConversion"/>
  </si>
  <si>
    <t>K46Y,Q48N,E174P,N358D,D360S,E362N,Q371E</t>
    <phoneticPr fontId="3" type="noConversion"/>
  </si>
  <si>
    <t>E174P,M296K,I297Q,N358D,D360S,E362N,Q371E</t>
    <phoneticPr fontId="3" type="noConversion"/>
  </si>
  <si>
    <t>E174P,N358D,D360S,E362N,N365P,M366H,E370D,Q371E</t>
    <phoneticPr fontId="3" type="noConversion"/>
  </si>
  <si>
    <t>E174P,N358D,D360S,E362N,M366E,I368S,E370S,Q371E</t>
    <phoneticPr fontId="3" type="noConversion"/>
  </si>
  <si>
    <r>
      <rPr>
        <b/>
        <sz val="12"/>
        <rFont val="Times New Roman"/>
        <family val="1"/>
      </rPr>
      <t xml:space="preserve">Table S10. </t>
    </r>
    <r>
      <rPr>
        <sz val="12"/>
        <rFont val="Times New Roman"/>
        <family val="1"/>
      </rPr>
      <t>Top 52 predicted mutants and their volumetric isomerization activity after the third round of training.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</si>
</sst>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1" fillId="0" borderId="0" xfId="0" applyNumberFormat="1" applyFont="1" applyAlignment="1"/>
    <xf numFmtId="176" fontId="1" fillId="0" borderId="0" xfId="0" applyNumberFormat="1" applyFont="1">
      <alignment vertical="center"/>
    </xf>
    <xf numFmtId="176" fontId="5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D0EA-F12D-4F0D-893E-0F4FD2BC30FF}">
  <dimension ref="A1:W72"/>
  <sheetViews>
    <sheetView tabSelected="1" workbookViewId="0">
      <selection sqref="A1:H1"/>
    </sheetView>
  </sheetViews>
  <sheetFormatPr defaultColWidth="8.7265625" defaultRowHeight="15.5" x14ac:dyDescent="0.25"/>
  <cols>
    <col min="1" max="1" width="11.36328125" style="2" customWidth="1"/>
    <col min="2" max="2" width="68" style="1" customWidth="1"/>
    <col min="3" max="3" width="15.36328125" style="2" customWidth="1"/>
    <col min="4" max="4" width="15.1796875" style="15" customWidth="1"/>
    <col min="5" max="5" width="14.6328125" style="15" customWidth="1"/>
    <col min="6" max="6" width="16.453125" style="15" customWidth="1"/>
    <col min="7" max="7" width="14.08984375" style="15" customWidth="1"/>
    <col min="8" max="8" width="14.54296875" style="15" customWidth="1"/>
    <col min="9" max="11" width="8.7265625" style="2"/>
    <col min="12" max="12" width="8.7265625" style="1"/>
    <col min="13" max="22" width="8.7265625" style="2"/>
    <col min="23" max="23" width="80.1796875" style="2" customWidth="1"/>
    <col min="24" max="16384" width="8.7265625" style="2"/>
  </cols>
  <sheetData>
    <row r="1" spans="1:23" ht="32.5" customHeight="1" x14ac:dyDescent="0.25">
      <c r="A1" s="17" t="s">
        <v>114</v>
      </c>
      <c r="B1" s="17"/>
      <c r="C1" s="17"/>
      <c r="D1" s="17"/>
      <c r="E1" s="17"/>
      <c r="F1" s="17"/>
      <c r="G1" s="17"/>
      <c r="H1" s="17"/>
      <c r="L1" s="2"/>
    </row>
    <row r="2" spans="1:23" s="7" customFormat="1" ht="30" x14ac:dyDescent="0.25">
      <c r="A2" s="3"/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L2" s="8"/>
    </row>
    <row r="3" spans="1:23" x14ac:dyDescent="0.25">
      <c r="A3" s="9">
        <v>45590</v>
      </c>
      <c r="B3" s="10" t="s">
        <v>61</v>
      </c>
      <c r="C3" s="11" t="s">
        <v>7</v>
      </c>
      <c r="D3" s="12">
        <v>2101.09344031922</v>
      </c>
      <c r="E3" s="12">
        <v>1952.0797211476499</v>
      </c>
      <c r="F3" s="12">
        <v>2026.5865807334301</v>
      </c>
      <c r="G3" s="12">
        <v>105.368611316049</v>
      </c>
      <c r="H3" s="12"/>
      <c r="W3" s="13"/>
    </row>
    <row r="4" spans="1:23" x14ac:dyDescent="0.25">
      <c r="B4" s="10" t="s">
        <v>62</v>
      </c>
      <c r="C4" s="11" t="s">
        <v>8</v>
      </c>
      <c r="D4" s="12">
        <v>2473.6277382481599</v>
      </c>
      <c r="E4" s="12">
        <v>2364.3510108556702</v>
      </c>
      <c r="F4" s="12">
        <v>2418.9893745519198</v>
      </c>
      <c r="G4" s="12">
        <v>77.2703149651025</v>
      </c>
      <c r="H4" s="12"/>
    </row>
    <row r="5" spans="1:23" x14ac:dyDescent="0.25">
      <c r="B5" s="10" t="s">
        <v>63</v>
      </c>
      <c r="C5" s="11" t="s">
        <v>9</v>
      </c>
      <c r="D5" s="12">
        <v>2404.08800263476</v>
      </c>
      <c r="E5" s="12">
        <v>2379.2523827728301</v>
      </c>
      <c r="F5" s="12">
        <v>2391.6701927037998</v>
      </c>
      <c r="G5" s="12">
        <v>17.5614352193416</v>
      </c>
      <c r="H5" s="12"/>
    </row>
    <row r="6" spans="1:23" x14ac:dyDescent="0.25">
      <c r="B6" s="10" t="s">
        <v>64</v>
      </c>
      <c r="C6" s="11" t="s">
        <v>10</v>
      </c>
      <c r="D6" s="12">
        <v>2592.83871358542</v>
      </c>
      <c r="E6" s="12">
        <v>2418.9893745519198</v>
      </c>
      <c r="F6" s="12">
        <v>2505.9140440686701</v>
      </c>
      <c r="G6" s="12">
        <v>122.93004653539001</v>
      </c>
      <c r="H6" s="12"/>
      <c r="W6" s="13"/>
    </row>
    <row r="7" spans="1:23" x14ac:dyDescent="0.25">
      <c r="B7" s="10" t="s">
        <v>65</v>
      </c>
      <c r="C7" s="11" t="s">
        <v>11</v>
      </c>
      <c r="D7" s="12">
        <v>2334.5482670213601</v>
      </c>
      <c r="E7" s="12">
        <v>2334.5482670213601</v>
      </c>
      <c r="F7" s="12">
        <v>2334.5482670213601</v>
      </c>
      <c r="G7" s="12">
        <v>4.5474735088646402E-13</v>
      </c>
      <c r="H7" s="12"/>
      <c r="W7" s="13"/>
    </row>
    <row r="8" spans="1:23" x14ac:dyDescent="0.25">
      <c r="B8" s="10" t="s">
        <v>66</v>
      </c>
      <c r="C8" s="11" t="s">
        <v>12</v>
      </c>
      <c r="D8" s="12">
        <v>2404.08800263476</v>
      </c>
      <c r="E8" s="12">
        <v>2563.0359697511099</v>
      </c>
      <c r="F8" s="12">
        <v>2483.5619861929399</v>
      </c>
      <c r="G8" s="12">
        <v>112.393185403785</v>
      </c>
      <c r="H8" s="12"/>
      <c r="W8" s="13"/>
    </row>
    <row r="9" spans="1:23" x14ac:dyDescent="0.25">
      <c r="B9" s="10" t="s">
        <v>67</v>
      </c>
      <c r="C9" s="11" t="s">
        <v>13</v>
      </c>
      <c r="D9" s="12">
        <v>1927.24410128572</v>
      </c>
      <c r="E9" s="12">
        <v>1748.42763827983</v>
      </c>
      <c r="F9" s="12">
        <v>1837.83586978277</v>
      </c>
      <c r="G9" s="12">
        <v>126.44233357925999</v>
      </c>
      <c r="H9" s="12"/>
      <c r="W9" s="13"/>
    </row>
    <row r="10" spans="1:23" x14ac:dyDescent="0.25">
      <c r="B10" s="10" t="s">
        <v>68</v>
      </c>
      <c r="C10" s="11" t="s">
        <v>14</v>
      </c>
      <c r="D10" s="12">
        <v>1962.01396909242</v>
      </c>
      <c r="E10" s="12">
        <v>1927.24410128572</v>
      </c>
      <c r="F10" s="12">
        <v>1944.62903518907</v>
      </c>
      <c r="G10" s="12">
        <v>24.586009307077799</v>
      </c>
      <c r="H10" s="12"/>
      <c r="W10" s="13"/>
    </row>
    <row r="11" spans="1:23" x14ac:dyDescent="0.25">
      <c r="B11" s="10" t="s">
        <v>69</v>
      </c>
      <c r="C11" s="11" t="s">
        <v>15</v>
      </c>
      <c r="D11" s="12">
        <v>2071.2906964849099</v>
      </c>
      <c r="E11" s="12">
        <v>2081.2249444296799</v>
      </c>
      <c r="F11" s="12">
        <v>2076.2578204572901</v>
      </c>
      <c r="G11" s="12">
        <v>7.0245740877360703</v>
      </c>
      <c r="H11" s="12"/>
      <c r="W11" s="13"/>
    </row>
    <row r="12" spans="1:23" x14ac:dyDescent="0.25">
      <c r="B12" s="10" t="s">
        <v>70</v>
      </c>
      <c r="C12" s="11" t="s">
        <v>16</v>
      </c>
      <c r="D12" s="12">
        <v>2498.4633581100902</v>
      </c>
      <c r="E12" s="12">
        <v>2384.2195067452199</v>
      </c>
      <c r="F12" s="12">
        <v>2441.34143242766</v>
      </c>
      <c r="G12" s="12">
        <v>80.782602008970699</v>
      </c>
      <c r="H12" s="12"/>
      <c r="W12" s="13"/>
    </row>
    <row r="13" spans="1:23" x14ac:dyDescent="0.35">
      <c r="B13" s="2" t="s">
        <v>81</v>
      </c>
      <c r="C13" s="2" t="s">
        <v>17</v>
      </c>
      <c r="D13" s="14">
        <v>1400.7289602128201</v>
      </c>
      <c r="E13" s="14">
        <v>1351.0577204889601</v>
      </c>
      <c r="F13" s="14">
        <v>1375.89334035089</v>
      </c>
      <c r="G13" s="14">
        <v>35.122870438683599</v>
      </c>
      <c r="W13" s="13"/>
    </row>
    <row r="14" spans="1:23" x14ac:dyDescent="0.25">
      <c r="W14" s="13"/>
    </row>
    <row r="15" spans="1:23" x14ac:dyDescent="0.25">
      <c r="A15" s="9">
        <v>45592</v>
      </c>
      <c r="B15" s="10" t="s">
        <v>71</v>
      </c>
      <c r="C15" s="11" t="s">
        <v>18</v>
      </c>
      <c r="D15" s="12">
        <v>2151.8260509122001</v>
      </c>
      <c r="E15" s="12">
        <v>2227.32871936526</v>
      </c>
      <c r="F15" s="12">
        <v>2189.5773851387298</v>
      </c>
      <c r="G15" s="12">
        <v>53.388448860837897</v>
      </c>
      <c r="H15" s="12">
        <f t="shared" ref="H15:H24" si="0">F15/$F$25*$H$25</f>
        <v>2190.6380242449386</v>
      </c>
      <c r="W15" s="13"/>
    </row>
    <row r="16" spans="1:23" x14ac:dyDescent="0.25">
      <c r="B16" s="10" t="s">
        <v>72</v>
      </c>
      <c r="C16" s="11" t="s">
        <v>19</v>
      </c>
      <c r="D16" s="12">
        <v>3020.1067381223902</v>
      </c>
      <c r="E16" s="12">
        <v>3063.2511200955701</v>
      </c>
      <c r="F16" s="12">
        <v>3041.6789291089799</v>
      </c>
      <c r="G16" s="12">
        <v>30.507685063335501</v>
      </c>
      <c r="H16" s="12">
        <f t="shared" si="0"/>
        <v>3043.1523292466691</v>
      </c>
      <c r="W16" s="13"/>
    </row>
    <row r="17" spans="1:23" x14ac:dyDescent="0.25">
      <c r="B17" s="10" t="s">
        <v>73</v>
      </c>
      <c r="C17" s="11" t="s">
        <v>20</v>
      </c>
      <c r="D17" s="12">
        <v>2809.7778760031501</v>
      </c>
      <c r="E17" s="12">
        <v>2626.4142526171499</v>
      </c>
      <c r="F17" s="12">
        <v>2718.0960643101498</v>
      </c>
      <c r="G17" s="12">
        <v>129.65766151917799</v>
      </c>
      <c r="H17" s="12">
        <f t="shared" si="0"/>
        <v>2719.4127197523399</v>
      </c>
      <c r="W17" s="13"/>
    </row>
    <row r="18" spans="1:23" x14ac:dyDescent="0.25">
      <c r="B18" s="10" t="s">
        <v>74</v>
      </c>
      <c r="C18" s="11" t="s">
        <v>21</v>
      </c>
      <c r="D18" s="12">
        <v>2399.9062472579699</v>
      </c>
      <c r="E18" s="12">
        <v>2416.0853904979099</v>
      </c>
      <c r="F18" s="12">
        <v>2407.9958188779401</v>
      </c>
      <c r="G18" s="12">
        <v>11.440381898751401</v>
      </c>
      <c r="H18" s="12">
        <f t="shared" si="0"/>
        <v>2409.1622606536107</v>
      </c>
      <c r="W18" s="13"/>
    </row>
    <row r="19" spans="1:23" x14ac:dyDescent="0.25">
      <c r="B19" s="10" t="s">
        <v>75</v>
      </c>
      <c r="C19" s="11" t="s">
        <v>22</v>
      </c>
      <c r="D19" s="12">
        <v>2367.5479607780899</v>
      </c>
      <c r="E19" s="12">
        <v>2389.12015176468</v>
      </c>
      <c r="F19" s="12">
        <v>2378.3340562713802</v>
      </c>
      <c r="G19" s="12">
        <v>15.253842531668299</v>
      </c>
      <c r="H19" s="12">
        <f t="shared" si="0"/>
        <v>2379.4861297832967</v>
      </c>
      <c r="W19" s="13"/>
    </row>
    <row r="20" spans="1:23" x14ac:dyDescent="0.25">
      <c r="B20" s="10" t="s">
        <v>76</v>
      </c>
      <c r="C20" s="11" t="s">
        <v>23</v>
      </c>
      <c r="D20" s="12">
        <v>2243.5078626052</v>
      </c>
      <c r="E20" s="12">
        <v>2259.68700584515</v>
      </c>
      <c r="F20" s="12">
        <v>2251.5974342251802</v>
      </c>
      <c r="G20" s="12">
        <v>11.440381898751401</v>
      </c>
      <c r="H20" s="12">
        <f t="shared" si="0"/>
        <v>2252.6881160646931</v>
      </c>
      <c r="W20" s="13"/>
    </row>
    <row r="21" spans="1:23" x14ac:dyDescent="0.25">
      <c r="B21" s="10" t="s">
        <v>77</v>
      </c>
      <c r="C21" s="11" t="s">
        <v>24</v>
      </c>
      <c r="D21" s="12">
        <v>2389.12015176468</v>
      </c>
      <c r="E21" s="12">
        <v>2394.5131995113302</v>
      </c>
      <c r="F21" s="12">
        <v>2391.8166756380001</v>
      </c>
      <c r="G21" s="12">
        <v>3.8134606329168999</v>
      </c>
      <c r="H21" s="12">
        <f t="shared" si="0"/>
        <v>2392.9752801788954</v>
      </c>
      <c r="W21" s="13"/>
    </row>
    <row r="22" spans="1:23" x14ac:dyDescent="0.25">
      <c r="B22" s="10" t="s">
        <v>78</v>
      </c>
      <c r="C22" s="11" t="s">
        <v>25</v>
      </c>
      <c r="D22" s="12">
        <v>2000.8207140060799</v>
      </c>
      <c r="E22" s="12">
        <v>2011.60680949938</v>
      </c>
      <c r="F22" s="12">
        <v>2006.2137617527301</v>
      </c>
      <c r="G22" s="12">
        <v>7.6269212658339702</v>
      </c>
      <c r="H22" s="12">
        <f t="shared" si="0"/>
        <v>2007.1855788648227</v>
      </c>
      <c r="W22" s="13"/>
    </row>
    <row r="23" spans="1:23" x14ac:dyDescent="0.25">
      <c r="B23" s="10" t="s">
        <v>79</v>
      </c>
      <c r="C23" s="11" t="s">
        <v>26</v>
      </c>
      <c r="D23" s="12">
        <v>2604.8420616305598</v>
      </c>
      <c r="E23" s="12">
        <v>2475.4089157110302</v>
      </c>
      <c r="F23" s="12">
        <v>2540.1254886708002</v>
      </c>
      <c r="G23" s="12">
        <v>91.523055190008293</v>
      </c>
      <c r="H23" s="12">
        <f t="shared" si="0"/>
        <v>2541.3559345304661</v>
      </c>
      <c r="W23" s="13"/>
    </row>
    <row r="24" spans="1:23" x14ac:dyDescent="0.25">
      <c r="B24" s="10" t="s">
        <v>80</v>
      </c>
      <c r="C24" s="11" t="s">
        <v>27</v>
      </c>
      <c r="D24" s="12">
        <v>2227.32871936526</v>
      </c>
      <c r="E24" s="12">
        <v>2286.6522445783799</v>
      </c>
      <c r="F24" s="12">
        <v>2256.9904819718199</v>
      </c>
      <c r="G24" s="12">
        <v>41.948066962087502</v>
      </c>
      <c r="H24" s="12">
        <f t="shared" si="0"/>
        <v>2258.0837762229244</v>
      </c>
      <c r="W24" s="13"/>
    </row>
    <row r="25" spans="1:23" x14ac:dyDescent="0.35">
      <c r="B25" s="2" t="s">
        <v>81</v>
      </c>
      <c r="C25" s="2" t="s">
        <v>17</v>
      </c>
      <c r="D25" s="14">
        <v>1402.19241412825</v>
      </c>
      <c r="E25" s="14">
        <v>1348.2619366617801</v>
      </c>
      <c r="F25" s="14">
        <v>1375.2271753950199</v>
      </c>
      <c r="G25" s="14">
        <v>38.134606329169998</v>
      </c>
      <c r="H25" s="14">
        <v>1375.89334035089</v>
      </c>
      <c r="W25" s="13"/>
    </row>
    <row r="26" spans="1:23" x14ac:dyDescent="0.25">
      <c r="W26" s="13"/>
    </row>
    <row r="27" spans="1:23" x14ac:dyDescent="0.25">
      <c r="A27" s="9">
        <v>45597</v>
      </c>
      <c r="B27" s="10" t="s">
        <v>82</v>
      </c>
      <c r="C27" s="11" t="s">
        <v>28</v>
      </c>
      <c r="D27" s="12">
        <v>2575.2086985585602</v>
      </c>
      <c r="E27" s="12">
        <v>2652.7752256235699</v>
      </c>
      <c r="F27" s="12">
        <v>2613.99196209107</v>
      </c>
      <c r="G27" s="12">
        <v>54.847817280763103</v>
      </c>
      <c r="H27" s="12">
        <f t="shared" ref="H27:H36" si="1">F27/$F$37*$H$37</f>
        <v>2885.9505541384974</v>
      </c>
      <c r="W27" s="13"/>
    </row>
    <row r="28" spans="1:23" x14ac:dyDescent="0.25">
      <c r="B28" s="10" t="s">
        <v>83</v>
      </c>
      <c r="C28" s="11" t="s">
        <v>29</v>
      </c>
      <c r="D28" s="12">
        <v>2197.7182668421401</v>
      </c>
      <c r="E28" s="12">
        <v>2223.5737758638202</v>
      </c>
      <c r="F28" s="12">
        <v>2210.6460213529799</v>
      </c>
      <c r="G28" s="12">
        <v>18.2826057602541</v>
      </c>
      <c r="H28" s="12">
        <f t="shared" si="1"/>
        <v>2440.6406763485784</v>
      </c>
      <c r="W28" s="13"/>
    </row>
    <row r="29" spans="1:23" x14ac:dyDescent="0.25">
      <c r="B29" s="10" t="s">
        <v>84</v>
      </c>
      <c r="C29" s="11" t="s">
        <v>30</v>
      </c>
      <c r="D29" s="12">
        <v>2533.83988412388</v>
      </c>
      <c r="E29" s="12">
        <v>2466.6155606675302</v>
      </c>
      <c r="F29" s="12">
        <v>2500.2277223957099</v>
      </c>
      <c r="G29" s="12">
        <v>47.5347749766619</v>
      </c>
      <c r="H29" s="12">
        <f t="shared" si="1"/>
        <v>2760.3503321977491</v>
      </c>
      <c r="W29" s="13"/>
    </row>
    <row r="30" spans="1:23" x14ac:dyDescent="0.25">
      <c r="B30" s="10" t="s">
        <v>85</v>
      </c>
      <c r="C30" s="11" t="s">
        <v>31</v>
      </c>
      <c r="D30" s="12">
        <v>1763.34571527805</v>
      </c>
      <c r="E30" s="12">
        <v>1887.4521585820801</v>
      </c>
      <c r="F30" s="12">
        <v>1825.39893693006</v>
      </c>
      <c r="G30" s="12">
        <v>87.756507649220893</v>
      </c>
      <c r="H30" s="12">
        <f t="shared" si="1"/>
        <v>2015.3126520492322</v>
      </c>
      <c r="W30" s="13"/>
    </row>
    <row r="31" spans="1:23" x14ac:dyDescent="0.25">
      <c r="B31" s="10" t="s">
        <v>86</v>
      </c>
      <c r="C31" s="11" t="s">
        <v>32</v>
      </c>
      <c r="D31" s="12">
        <v>2083.9540271467799</v>
      </c>
      <c r="E31" s="12">
        <v>2213.2315722551498</v>
      </c>
      <c r="F31" s="12">
        <v>2148.5927997009699</v>
      </c>
      <c r="G31" s="12">
        <v>91.413028801271693</v>
      </c>
      <c r="H31" s="12">
        <f t="shared" si="1"/>
        <v>2372.1314643809028</v>
      </c>
      <c r="W31" s="13"/>
    </row>
    <row r="32" spans="1:23" x14ac:dyDescent="0.25">
      <c r="B32" s="10" t="s">
        <v>87</v>
      </c>
      <c r="C32" s="11" t="s">
        <v>33</v>
      </c>
      <c r="D32" s="12">
        <v>2652.7752256235699</v>
      </c>
      <c r="E32" s="12">
        <v>2606.23530938456</v>
      </c>
      <c r="F32" s="12">
        <v>2629.5052675040702</v>
      </c>
      <c r="G32" s="12">
        <v>32.908690368457798</v>
      </c>
      <c r="H32" s="12">
        <f t="shared" si="1"/>
        <v>2903.0778571304136</v>
      </c>
      <c r="W32" s="13"/>
    </row>
    <row r="33" spans="1:23" x14ac:dyDescent="0.25">
      <c r="B33" s="10" t="s">
        <v>88</v>
      </c>
      <c r="C33" s="11" t="s">
        <v>34</v>
      </c>
      <c r="D33" s="12">
        <v>2456.2733570588698</v>
      </c>
      <c r="E33" s="12">
        <v>2523.49768051521</v>
      </c>
      <c r="F33" s="12">
        <v>2489.8855187870399</v>
      </c>
      <c r="G33" s="12">
        <v>47.534774976661197</v>
      </c>
      <c r="H33" s="12">
        <f t="shared" si="1"/>
        <v>2748.9321302031349</v>
      </c>
      <c r="W33" s="13"/>
    </row>
    <row r="34" spans="1:23" x14ac:dyDescent="0.25">
      <c r="B34" s="10" t="s">
        <v>89</v>
      </c>
      <c r="C34" s="11" t="s">
        <v>35</v>
      </c>
      <c r="D34" s="12">
        <v>2709.6573454712502</v>
      </c>
      <c r="E34" s="12">
        <v>2921.67251944897</v>
      </c>
      <c r="F34" s="12">
        <v>2815.6649324601099</v>
      </c>
      <c r="G34" s="12">
        <v>149.91736723408599</v>
      </c>
      <c r="H34" s="12">
        <f t="shared" si="1"/>
        <v>3108.6054930334508</v>
      </c>
      <c r="W34" s="13"/>
    </row>
    <row r="35" spans="1:23" x14ac:dyDescent="0.25">
      <c r="B35" s="10" t="s">
        <v>90</v>
      </c>
      <c r="C35" s="11" t="s">
        <v>36</v>
      </c>
      <c r="D35" s="12">
        <v>2083.9540271467799</v>
      </c>
      <c r="E35" s="12">
        <v>2125.3228415814601</v>
      </c>
      <c r="F35" s="12">
        <v>2104.6384343641198</v>
      </c>
      <c r="G35" s="12">
        <v>29.252169216406401</v>
      </c>
      <c r="H35" s="12">
        <f t="shared" si="1"/>
        <v>2323.6041059037884</v>
      </c>
      <c r="W35" s="13"/>
    </row>
    <row r="36" spans="1:23" x14ac:dyDescent="0.25">
      <c r="B36" s="10" t="s">
        <v>91</v>
      </c>
      <c r="C36" s="11" t="s">
        <v>37</v>
      </c>
      <c r="D36" s="12">
        <v>2451.1022552545301</v>
      </c>
      <c r="E36" s="12">
        <v>2321.8247101461702</v>
      </c>
      <c r="F36" s="12">
        <v>2386.4634827003501</v>
      </c>
      <c r="G36" s="12">
        <v>91.413028801272304</v>
      </c>
      <c r="H36" s="12">
        <f t="shared" si="1"/>
        <v>2634.7501102570018</v>
      </c>
      <c r="W36" s="13"/>
    </row>
    <row r="37" spans="1:23" x14ac:dyDescent="0.35">
      <c r="B37" s="2" t="s">
        <v>81</v>
      </c>
      <c r="C37" s="2" t="s">
        <v>17</v>
      </c>
      <c r="D37" s="14">
        <v>1194.52451680126</v>
      </c>
      <c r="E37" s="14">
        <v>1297.94655288795</v>
      </c>
      <c r="F37" s="14">
        <v>1246.2355348445999</v>
      </c>
      <c r="G37" s="14">
        <v>73.130423041017494</v>
      </c>
      <c r="H37" s="14">
        <v>1375.89334035089</v>
      </c>
      <c r="W37" s="13"/>
    </row>
    <row r="38" spans="1:23" x14ac:dyDescent="0.25">
      <c r="W38" s="13"/>
    </row>
    <row r="39" spans="1:23" x14ac:dyDescent="0.25">
      <c r="A39" s="9">
        <v>45609</v>
      </c>
      <c r="B39" s="10" t="s">
        <v>92</v>
      </c>
      <c r="C39" s="11" t="s">
        <v>38</v>
      </c>
      <c r="D39" s="12">
        <v>2030.57921289509</v>
      </c>
      <c r="E39" s="12">
        <v>2327.8600405894099</v>
      </c>
      <c r="F39" s="12">
        <v>2179.2196267422501</v>
      </c>
      <c r="G39" s="12">
        <v>210.20928917940299</v>
      </c>
      <c r="H39" s="12">
        <f t="shared" ref="H39:H49" si="2">F39/$F$50*$H$50</f>
        <v>2347.4314386657134</v>
      </c>
      <c r="W39" s="13"/>
    </row>
    <row r="40" spans="1:23" x14ac:dyDescent="0.25">
      <c r="B40" s="10" t="s">
        <v>93</v>
      </c>
      <c r="C40" s="11" t="s">
        <v>39</v>
      </c>
      <c r="D40" s="12">
        <v>2902.2670635919999</v>
      </c>
      <c r="E40" s="12">
        <v>2861.9577988198898</v>
      </c>
      <c r="F40" s="12">
        <v>2882.1124312059401</v>
      </c>
      <c r="G40" s="12">
        <v>28.502954465003398</v>
      </c>
      <c r="H40" s="12">
        <f t="shared" si="2"/>
        <v>3104.5798448943133</v>
      </c>
      <c r="W40" s="13"/>
    </row>
    <row r="41" spans="1:23" x14ac:dyDescent="0.25">
      <c r="B41" s="10" t="s">
        <v>94</v>
      </c>
      <c r="C41" s="11" t="s">
        <v>40</v>
      </c>
      <c r="D41" s="12">
        <v>2846.8418245303401</v>
      </c>
      <c r="E41" s="12">
        <v>2725.9140302140099</v>
      </c>
      <c r="F41" s="12">
        <v>2786.3779273721798</v>
      </c>
      <c r="G41" s="12">
        <v>85.508863395011701</v>
      </c>
      <c r="H41" s="12">
        <f t="shared" si="2"/>
        <v>3001.4556892072683</v>
      </c>
      <c r="W41" s="13"/>
    </row>
    <row r="42" spans="1:23" x14ac:dyDescent="0.25">
      <c r="B42" s="10" t="s">
        <v>95</v>
      </c>
      <c r="C42" s="11" t="s">
        <v>41</v>
      </c>
      <c r="D42" s="12">
        <v>2327.8600405894099</v>
      </c>
      <c r="E42" s="12">
        <v>2332.89869868593</v>
      </c>
      <c r="F42" s="12">
        <v>2330.3793696376702</v>
      </c>
      <c r="G42" s="12">
        <v>3.56286930812534</v>
      </c>
      <c r="H42" s="12">
        <f t="shared" si="2"/>
        <v>2510.2590529084264</v>
      </c>
      <c r="W42" s="13"/>
    </row>
    <row r="43" spans="1:23" x14ac:dyDescent="0.25">
      <c r="B43" s="10" t="s">
        <v>96</v>
      </c>
      <c r="C43" s="11" t="s">
        <v>42</v>
      </c>
      <c r="D43" s="12">
        <v>2242.2028529486802</v>
      </c>
      <c r="E43" s="12">
        <v>2005.3859224125199</v>
      </c>
      <c r="F43" s="12">
        <v>2123.7943876805998</v>
      </c>
      <c r="G43" s="12">
        <v>167.45485748189799</v>
      </c>
      <c r="H43" s="12">
        <f t="shared" si="2"/>
        <v>2287.7279801100563</v>
      </c>
      <c r="W43" s="13"/>
    </row>
    <row r="44" spans="1:23" x14ac:dyDescent="0.25">
      <c r="B44" s="10" t="s">
        <v>97</v>
      </c>
      <c r="C44" s="11" t="s">
        <v>43</v>
      </c>
      <c r="D44" s="12">
        <v>3028.2335160048401</v>
      </c>
      <c r="E44" s="12">
        <v>2927.4603540745702</v>
      </c>
      <c r="F44" s="12">
        <v>2977.8469350396999</v>
      </c>
      <c r="G44" s="12">
        <v>71.257386162509306</v>
      </c>
      <c r="H44" s="12">
        <f t="shared" si="2"/>
        <v>3207.7040005813578</v>
      </c>
      <c r="W44" s="13"/>
    </row>
    <row r="45" spans="1:23" x14ac:dyDescent="0.25">
      <c r="B45" s="10" t="s">
        <v>98</v>
      </c>
      <c r="C45" s="11" t="s">
        <v>44</v>
      </c>
      <c r="D45" s="12">
        <v>2075.9271357637199</v>
      </c>
      <c r="E45" s="12">
        <v>2075.9271357637199</v>
      </c>
      <c r="F45" s="12">
        <v>2075.9271357637199</v>
      </c>
      <c r="G45" s="12">
        <v>4.5474735088646402E-13</v>
      </c>
      <c r="H45" s="12">
        <f t="shared" si="2"/>
        <v>2236.165902266534</v>
      </c>
      <c r="W45" s="13"/>
    </row>
    <row r="46" spans="1:23" x14ac:dyDescent="0.25">
      <c r="B46" s="10" t="s">
        <v>99</v>
      </c>
      <c r="C46" s="11" t="s">
        <v>45</v>
      </c>
      <c r="D46" s="12">
        <v>2882.1124312059401</v>
      </c>
      <c r="E46" s="12">
        <v>2700.7207397314401</v>
      </c>
      <c r="F46" s="12">
        <v>2791.4165854686898</v>
      </c>
      <c r="G46" s="12">
        <v>128.26329509251701</v>
      </c>
      <c r="H46" s="12">
        <f t="shared" si="2"/>
        <v>3006.8832763486876</v>
      </c>
      <c r="W46" s="13"/>
    </row>
    <row r="47" spans="1:23" x14ac:dyDescent="0.25">
      <c r="B47" s="10" t="s">
        <v>100</v>
      </c>
      <c r="C47" s="11" t="s">
        <v>46</v>
      </c>
      <c r="D47" s="12">
        <v>2826.6871921442898</v>
      </c>
      <c r="E47" s="12">
        <v>2660.41147495933</v>
      </c>
      <c r="F47" s="12">
        <v>2743.5493335518099</v>
      </c>
      <c r="G47" s="12">
        <v>117.574687168141</v>
      </c>
      <c r="H47" s="12">
        <f t="shared" si="2"/>
        <v>2955.3211985051648</v>
      </c>
      <c r="W47" s="13"/>
    </row>
    <row r="48" spans="1:23" x14ac:dyDescent="0.25">
      <c r="B48" s="10" t="s">
        <v>101</v>
      </c>
      <c r="C48" s="11" t="s">
        <v>47</v>
      </c>
      <c r="D48" s="12">
        <v>1965.0766576404101</v>
      </c>
      <c r="E48" s="12">
        <v>2040.6565290881199</v>
      </c>
      <c r="F48" s="12">
        <v>2002.8665933642701</v>
      </c>
      <c r="G48" s="12">
        <v>53.443039621881901</v>
      </c>
      <c r="H48" s="12">
        <f t="shared" si="2"/>
        <v>2157.465888715893</v>
      </c>
      <c r="W48" s="13"/>
    </row>
    <row r="49" spans="1:23" x14ac:dyDescent="0.25">
      <c r="B49" s="10" t="s">
        <v>102</v>
      </c>
      <c r="C49" s="11" t="s">
        <v>48</v>
      </c>
      <c r="D49" s="12">
        <v>2358.0919891684998</v>
      </c>
      <c r="E49" s="12">
        <v>2423.5945444231802</v>
      </c>
      <c r="F49" s="12">
        <v>2390.84326679584</v>
      </c>
      <c r="G49" s="12">
        <v>46.317301005631002</v>
      </c>
      <c r="H49" s="12">
        <f t="shared" si="2"/>
        <v>2575.3900986055132</v>
      </c>
      <c r="W49" s="13"/>
    </row>
    <row r="50" spans="1:23" x14ac:dyDescent="0.35">
      <c r="B50" s="2" t="s">
        <v>81</v>
      </c>
      <c r="C50" s="2" t="s">
        <v>17</v>
      </c>
      <c r="D50" s="14">
        <v>1264.7031822249901</v>
      </c>
      <c r="E50" s="14">
        <v>1289.8964727075499</v>
      </c>
      <c r="F50" s="14">
        <v>1277.29982746627</v>
      </c>
      <c r="G50" s="14">
        <v>17.814346540627</v>
      </c>
      <c r="H50" s="14">
        <v>1375.89334035089</v>
      </c>
      <c r="W50" s="13"/>
    </row>
    <row r="51" spans="1:23" x14ac:dyDescent="0.25">
      <c r="W51" s="13"/>
    </row>
    <row r="52" spans="1:23" x14ac:dyDescent="0.25">
      <c r="A52" s="9">
        <v>45612</v>
      </c>
      <c r="B52" s="10" t="s">
        <v>103</v>
      </c>
      <c r="C52" s="11" t="s">
        <v>49</v>
      </c>
      <c r="D52" s="12">
        <v>1395.1831997619799</v>
      </c>
      <c r="E52" s="12">
        <v>1474.9079540340899</v>
      </c>
      <c r="F52" s="12">
        <v>1435.0455768980401</v>
      </c>
      <c r="G52" s="12">
        <v>56.373914374242197</v>
      </c>
      <c r="H52" s="12">
        <f>F52/$F$55*$H$55</f>
        <v>1572.4495318295949</v>
      </c>
      <c r="W52" s="13"/>
    </row>
    <row r="53" spans="1:23" x14ac:dyDescent="0.25">
      <c r="B53" s="10" t="s">
        <v>104</v>
      </c>
      <c r="C53" s="11" t="s">
        <v>50</v>
      </c>
      <c r="D53" s="12">
        <v>2670.7792681157898</v>
      </c>
      <c r="E53" s="12">
        <v>2720.6072395358601</v>
      </c>
      <c r="F53" s="12">
        <v>2695.6932538258302</v>
      </c>
      <c r="G53" s="12">
        <v>35.233696483901802</v>
      </c>
      <c r="H53" s="12">
        <f>F53/$F$55*$H$55</f>
        <v>2953.8027663882299</v>
      </c>
      <c r="W53" s="13"/>
    </row>
    <row r="54" spans="1:23" x14ac:dyDescent="0.25">
      <c r="B54" s="10" t="s">
        <v>105</v>
      </c>
      <c r="C54" s="11" t="s">
        <v>51</v>
      </c>
      <c r="D54" s="12">
        <v>2481.43297671952</v>
      </c>
      <c r="E54" s="12">
        <v>2546.2093395656202</v>
      </c>
      <c r="F54" s="12">
        <v>2513.8211581425699</v>
      </c>
      <c r="G54" s="12">
        <v>45.803805429071701</v>
      </c>
      <c r="H54" s="12">
        <f>F54/$F$55*$H$55</f>
        <v>2754.5166278056581</v>
      </c>
      <c r="W54" s="13"/>
    </row>
    <row r="55" spans="1:23" x14ac:dyDescent="0.35">
      <c r="B55" s="2" t="s">
        <v>81</v>
      </c>
      <c r="C55" s="2" t="s">
        <v>17</v>
      </c>
      <c r="D55" s="14">
        <v>1280.5788654958201</v>
      </c>
      <c r="E55" s="14">
        <v>1230.75089407575</v>
      </c>
      <c r="F55" s="14">
        <v>1255.6648797857799</v>
      </c>
      <c r="G55" s="14">
        <v>35.233696483901497</v>
      </c>
      <c r="H55" s="14">
        <v>1375.89334035089</v>
      </c>
      <c r="W55" s="13"/>
    </row>
    <row r="56" spans="1:23" x14ac:dyDescent="0.25">
      <c r="W56" s="13"/>
    </row>
    <row r="57" spans="1:23" x14ac:dyDescent="0.25">
      <c r="A57" s="9">
        <v>45630</v>
      </c>
      <c r="B57" s="10" t="s">
        <v>106</v>
      </c>
      <c r="C57" s="11" t="s">
        <v>52</v>
      </c>
      <c r="D57" s="12">
        <v>3105.7311667599301</v>
      </c>
      <c r="E57" s="12">
        <v>2968.7941664618802</v>
      </c>
      <c r="F57" s="12">
        <v>3037.2626666109099</v>
      </c>
      <c r="G57" s="12">
        <v>96.829081506100593</v>
      </c>
      <c r="H57" s="12">
        <f t="shared" ref="H57:H64" si="3">F57/$F$65*$H$65</f>
        <v>2934.357143171429</v>
      </c>
    </row>
    <row r="58" spans="1:23" x14ac:dyDescent="0.25">
      <c r="B58" s="10" t="s">
        <v>107</v>
      </c>
      <c r="C58" s="11" t="s">
        <v>53</v>
      </c>
      <c r="D58" s="12">
        <v>3072.8662866884001</v>
      </c>
      <c r="E58" s="12">
        <v>2946.8842464141899</v>
      </c>
      <c r="F58" s="12">
        <v>3009.8752665512902</v>
      </c>
      <c r="G58" s="12">
        <v>89.082754985612397</v>
      </c>
      <c r="H58" s="12">
        <f t="shared" si="3"/>
        <v>2907.8976558569802</v>
      </c>
    </row>
    <row r="59" spans="1:23" x14ac:dyDescent="0.25">
      <c r="B59" s="10" t="s">
        <v>108</v>
      </c>
      <c r="C59" s="11" t="s">
        <v>54</v>
      </c>
      <c r="D59" s="12">
        <v>2541.5507255319399</v>
      </c>
      <c r="E59" s="12">
        <v>2492.2534054246398</v>
      </c>
      <c r="F59" s="12">
        <v>2516.9020654782898</v>
      </c>
      <c r="G59" s="12">
        <v>34.858469342196102</v>
      </c>
      <c r="H59" s="12">
        <f t="shared" si="3"/>
        <v>2431.6268841970605</v>
      </c>
    </row>
    <row r="60" spans="1:23" x14ac:dyDescent="0.25">
      <c r="B60" s="10" t="s">
        <v>109</v>
      </c>
      <c r="C60" s="11" t="s">
        <v>55</v>
      </c>
      <c r="D60" s="12">
        <v>3428.9024874633501</v>
      </c>
      <c r="E60" s="12">
        <v>3374.1276873441302</v>
      </c>
      <c r="F60" s="12">
        <v>3401.5150874037399</v>
      </c>
      <c r="G60" s="12">
        <v>38.731632602439703</v>
      </c>
      <c r="H60" s="12">
        <f t="shared" si="3"/>
        <v>3286.2683244534819</v>
      </c>
    </row>
    <row r="61" spans="1:23" x14ac:dyDescent="0.25">
      <c r="B61" s="10" t="s">
        <v>110</v>
      </c>
      <c r="C61" s="11" t="s">
        <v>56</v>
      </c>
      <c r="D61" s="12">
        <v>3626.0917678925498</v>
      </c>
      <c r="E61" s="12">
        <v>3642.5242079283198</v>
      </c>
      <c r="F61" s="12">
        <v>3634.3079879104398</v>
      </c>
      <c r="G61" s="12">
        <v>11.6194897807327</v>
      </c>
      <c r="H61" s="12">
        <f t="shared" si="3"/>
        <v>3511.1739666262274</v>
      </c>
    </row>
    <row r="62" spans="1:23" x14ac:dyDescent="0.25">
      <c r="B62" s="10" t="s">
        <v>111</v>
      </c>
      <c r="C62" s="11" t="s">
        <v>57</v>
      </c>
      <c r="D62" s="12">
        <v>1955.4603642562599</v>
      </c>
      <c r="E62" s="12">
        <v>1873.2981640774201</v>
      </c>
      <c r="F62" s="12">
        <v>1914.3792641668399</v>
      </c>
      <c r="G62" s="12">
        <v>58.097448903660798</v>
      </c>
      <c r="H62" s="12">
        <f t="shared" si="3"/>
        <v>1849.518163279376</v>
      </c>
    </row>
    <row r="63" spans="1:23" x14ac:dyDescent="0.25">
      <c r="B63" s="10" t="s">
        <v>112</v>
      </c>
      <c r="C63" s="11" t="s">
        <v>58</v>
      </c>
      <c r="D63" s="12">
        <v>3018.0914865691798</v>
      </c>
      <c r="E63" s="12">
        <v>2952.3617264261102</v>
      </c>
      <c r="F63" s="12">
        <v>2985.2266064976402</v>
      </c>
      <c r="G63" s="12">
        <v>46.477959122928503</v>
      </c>
      <c r="H63" s="12">
        <f t="shared" si="3"/>
        <v>2884.0841172739847</v>
      </c>
    </row>
    <row r="64" spans="1:23" x14ac:dyDescent="0.25">
      <c r="B64" s="10" t="s">
        <v>113</v>
      </c>
      <c r="C64" s="11" t="s">
        <v>59</v>
      </c>
      <c r="D64" s="12">
        <v>1780.1810038747401</v>
      </c>
      <c r="E64" s="12">
        <v>1807.56840393435</v>
      </c>
      <c r="F64" s="12">
        <v>1793.87470390455</v>
      </c>
      <c r="G64" s="12">
        <v>19.365816301220001</v>
      </c>
      <c r="H64" s="12">
        <f t="shared" si="3"/>
        <v>1733.0964190958391</v>
      </c>
    </row>
    <row r="65" spans="1:8" x14ac:dyDescent="0.35">
      <c r="B65" s="2" t="s">
        <v>81</v>
      </c>
      <c r="C65" s="2" t="s">
        <v>17</v>
      </c>
      <c r="D65" s="14">
        <v>1440.5772431355599</v>
      </c>
      <c r="E65" s="14">
        <v>1407.7123630640299</v>
      </c>
      <c r="F65" s="14">
        <v>1424.1448030997899</v>
      </c>
      <c r="G65" s="14">
        <v>23.238979561464099</v>
      </c>
      <c r="H65" s="14">
        <v>1375.89334035089</v>
      </c>
    </row>
    <row r="66" spans="1:8" s="13" customFormat="1" x14ac:dyDescent="0.25">
      <c r="A66" s="18" t="s">
        <v>60</v>
      </c>
      <c r="B66" s="18"/>
      <c r="C66" s="18"/>
      <c r="D66" s="18"/>
      <c r="E66" s="18"/>
      <c r="F66" s="18"/>
      <c r="G66" s="18"/>
      <c r="H66" s="18"/>
    </row>
    <row r="67" spans="1:8" x14ac:dyDescent="0.35">
      <c r="B67" s="2"/>
      <c r="D67" s="14"/>
      <c r="E67" s="14"/>
      <c r="F67" s="14"/>
      <c r="G67" s="14"/>
      <c r="H67" s="14"/>
    </row>
    <row r="69" spans="1:8" x14ac:dyDescent="0.35">
      <c r="A69" s="9"/>
      <c r="B69" s="2"/>
      <c r="D69" s="14"/>
      <c r="E69" s="14"/>
      <c r="F69" s="14"/>
      <c r="G69" s="14"/>
      <c r="H69" s="16"/>
    </row>
    <row r="70" spans="1:8" x14ac:dyDescent="0.35">
      <c r="B70" s="2"/>
      <c r="D70" s="14"/>
      <c r="E70" s="14"/>
      <c r="F70" s="14"/>
      <c r="G70" s="14"/>
      <c r="H70" s="16"/>
    </row>
    <row r="71" spans="1:8" x14ac:dyDescent="0.35">
      <c r="B71" s="2"/>
      <c r="D71" s="14"/>
      <c r="E71" s="14"/>
      <c r="F71" s="14"/>
      <c r="G71" s="14"/>
      <c r="H71" s="16"/>
    </row>
    <row r="72" spans="1:8" x14ac:dyDescent="0.35">
      <c r="B72" s="2"/>
      <c r="D72" s="14"/>
      <c r="E72" s="14"/>
      <c r="F72" s="14"/>
      <c r="G72" s="14"/>
      <c r="H72" s="14"/>
    </row>
  </sheetData>
  <mergeCells count="2">
    <mergeCell ref="A1:H1"/>
    <mergeCell ref="A66:H6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2026-01-04T10:51:39Z</dcterms:created>
  <dcterms:modified xsi:type="dcterms:W3CDTF">2026-04-29T12:09:37Z</dcterms:modified>
</cp:coreProperties>
</file>