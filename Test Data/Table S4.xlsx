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拒稿重投-V4-260110\"/>
    </mc:Choice>
  </mc:AlternateContent>
  <xr:revisionPtr revIDLastSave="0" documentId="13_ncr:1_{0AD4CA88-7672-4FDC-A37C-9547DE5EF870}" xr6:coauthVersionLast="47" xr6:coauthVersionMax="47" xr10:uidLastSave="{00000000-0000-0000-0000-000000000000}"/>
  <bookViews>
    <workbookView xWindow="-110" yWindow="-110" windowWidth="21820" windowHeight="13900" xr2:uid="{886406F2-1036-4F52-AEF0-FF2A9D0DAB86}"/>
  </bookViews>
  <sheets>
    <sheet name="Table S4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8" i="1" l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G76" i="1"/>
  <c r="F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<sst xmlns="http://schemas.openxmlformats.org/spreadsheetml/2006/main" count="313" uniqueCount="303">
  <si>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</si>
  <si>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</si>
  <si>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</si>
  <si>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</si>
  <si>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</si>
  <si>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</si>
  <si>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</si>
  <si>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MDITRFKEDLKAHLEEKIIPFWQSLKDDEFGGYYGYMDFNLNIDRKAQKGCILNSRILWFFSACYNVLKSEKCKEMAFHAFEFLKNKFWDKEYEGLFWSVSHKGVPVDVTKHVYVQAFGIYGLSEYYEASGDEEALHMAKRLFEILETKCKRENGYTEQFERNWQEKENRFLSET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</si>
  <si>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V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</si>
  <si>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L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</si>
  <si>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</si>
  <si>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L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</si>
  <si>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G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</si>
  <si>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Y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</si>
  <si>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N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</si>
  <si>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F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</si>
  <si>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A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</si>
  <si>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</si>
  <si>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Q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</si>
  <si>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S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</si>
  <si>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P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</si>
  <si>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M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</si>
  <si>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R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</si>
  <si>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D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</si>
  <si>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D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</si>
  <si>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W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</si>
  <si>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A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</si>
  <si>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T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</si>
  <si>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H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</si>
  <si>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I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</si>
  <si>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</si>
  <si>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I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</si>
  <si>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K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</si>
  <si>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W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</si>
  <si>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M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</si>
  <si>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</si>
  <si>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C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</si>
  <si>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V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</si>
  <si>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A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</si>
  <si>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Y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</si>
  <si>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I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</si>
  <si>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K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</si>
  <si>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K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</si>
  <si>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H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</si>
  <si>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</si>
  <si>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</si>
  <si>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V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</si>
  <si>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L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</si>
  <si>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A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</si>
  <si>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T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</si>
  <si>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D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</si>
  <si>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N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</si>
  <si>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L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</si>
  <si>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R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</si>
  <si>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F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</si>
  <si>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S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</si>
  <si>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E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</si>
  <si>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M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</si>
  <si>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I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</si>
  <si>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</si>
  <si>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G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</si>
  <si>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W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</si>
  <si>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M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</si>
  <si>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F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</si>
  <si>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N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</si>
  <si>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PKVNEDLEAVNMPIVEQWKCPYHNGRMCLEIIKRVD</t>
  </si>
  <si>
    <t>MDITRFKEDLKAHLEEKIIPFWQSLKDDEFGGYYGYMDFNLNIDRKAQKGCILNSRILWFFSACYNVLKSEKCKEMAFHAFEFLKNKFWDKEYEGLFWSVSHKGVPVDVTKHVYVQAFGIYGLSEYYEASGDEEALHMAKRLFEILETKCKRENGYTEQFERNWQEKENRFLSEK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</si>
  <si>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G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</si>
  <si>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GKVNEDLEAVNMPIVEQWKCPYHNGRMCLEIIKRVD</t>
  </si>
  <si>
    <t>MDITRFKEDLKAHLEEKIIPFWQSLKDDEFGGYYGYMDFNLNIDRKAQKGCILNSRILWFFSACYNVLKSEKCKEMAFHAFEFLKNKFWDKEYEGLFWSVSHKGVPVDVTKHVYVQAFGIYGLSEYYEASGDEEALHMAKRLFEILETKCKRENGYTEQFERNWQEKENRFLSENGR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</si>
  <si>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K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</si>
  <si>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G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</si>
  <si>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I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</si>
  <si>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N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</si>
  <si>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Y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</si>
  <si>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L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</si>
  <si>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T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</si>
  <si>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H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</si>
  <si>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A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</si>
  <si>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E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</si>
  <si>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C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</si>
  <si>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V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</si>
  <si>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HKVNEDLEAVNMPIVEQWKCPYHNGRMCLEIIKRVD</t>
  </si>
  <si>
    <t>MDITRFKEDLKAHLEEKIIPFWQSLKDDEFGGYYGYMDFNLNIDRKAQKGCILNSRILWFFSACYNVLKSEKCKEMAFHAFEFLKNKFWDKEYEGLFWSVSHKGVPVDVTKHVYVQAFGIYGLSEYYEASGDEEALHMAKRLFEILETKCKRENGYTEQFERNWQEKENRFLSENGD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</si>
  <si>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V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</si>
  <si>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F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</si>
  <si>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E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</si>
  <si>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H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</si>
  <si>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Y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</si>
  <si>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R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</si>
  <si>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D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</si>
  <si>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QKVNEDLEAVNMPIVEQWKCPYHNGRMCLEIIKRVD</t>
  </si>
  <si>
    <t>MDITRFKEDLKAHLEEKIIPFWQSLKDDEFGGYYGYMDFNLNIDRKAQKGCILNSRILWFFSACYNVLKSEKCKEMAFHAFEFLKNKFWDKEYEGLFWSVSHKGVPVDVTKHVYVQAFGIYGLSEYYEASGDEEALHMAKRLFEILETKCKRENGYTEQFERNWQEKENRFLSEY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</si>
  <si>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W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</si>
  <si>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</si>
  <si>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S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</si>
  <si>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F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</si>
  <si>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</si>
  <si>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T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</si>
  <si>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</si>
  <si>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L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</si>
  <si>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C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</si>
  <si>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A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</si>
  <si>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L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</si>
  <si>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Q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</si>
  <si>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T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</si>
  <si>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H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</si>
  <si>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C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</si>
  <si>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P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</si>
  <si>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E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</si>
  <si>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V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</si>
  <si>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S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</si>
  <si>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R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</si>
  <si>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F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</si>
  <si>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W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</si>
  <si>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Y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</si>
  <si>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D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</si>
  <si>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K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</si>
  <si>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A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</si>
  <si>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I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</si>
  <si>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N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</si>
  <si>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M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</si>
  <si>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G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</si>
  <si>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</si>
  <si>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C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</si>
  <si>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P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</si>
  <si>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M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</si>
  <si>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N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</si>
  <si>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TKVNEDLEAVNMPIVEQWKCPYHNGRMCLEIIKRVD</t>
  </si>
  <si>
    <t>MDITRFKEDLKAHLEEKIIPFWQSLKDDEFGGYYGYMDFNLNIDRKAQKGCILNSRILWFFSACYNVLKSEKCKEMAFHAFEFLKNKFWDKEYEGLFWSVSHKGVPVDVTKHVYVQAFGIYGLSEYYEASGDEEALHMAKRLFEILETKCKRENGYTEQFERNWQEKENRFLSENGS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</si>
  <si>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H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</si>
  <si>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W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</si>
  <si>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Q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</si>
  <si>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K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</si>
  <si>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D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</si>
  <si>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E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</si>
  <si>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</si>
  <si>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R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</si>
  <si>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C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</si>
  <si>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FIASKTMNTHLHVLESYTNLYRLLKLDDVYEALEWIVRLFVDKIYKKGTGHFKVFCDDNWNELIKAVSYGHDIEASWLLDQAAKYLKDEKLKEEVEKLALEVAQITLKEAFDGQSLINEMIEDRIDRSKIWWVEAETVVGFFNAYQKTKEEKYLDAAIKTWEFIKEHLVDRRKNSEWLWKVNEDLEAVNMPIVEQ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</si>
  <si>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</si>
  <si>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</si>
  <si>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TGQ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</si>
  <si>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AKVNEDLEAVNMPIVEEWKCPYHNGRMCLEIIKRVD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</si>
  <si>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AKVNEDLEAVNMPIVEQWKCPYHNGRMCLEIIKRVD</t>
  </si>
  <si>
    <t>MDITRFKEDLKAHLEEKIIPFWQSLKDDEFGGYYGYMDFNLNIDRKAQKGCILNSRILWFFSACYNVLKSEKCKEMAFHAFEFLKNKFWDKEYEGLFWSVSHKGVPVDVTKHVYVQAFGIYGLSEYYEASGDEEALHMAKRLFEILETKCKRENGYTEQFERNWQEKENRFLSETGVA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</si>
  <si>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T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</si>
  <si>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</si>
  <si>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AKVNEDLEAVNMPIVEQWKCPYHNGRMCLEIIKRVD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</si>
  <si>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SKVNEDLEAVNMPIVEQWKCPYHNGRMCLEIIKRVD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</si>
  <si>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KVNEDLEAVNMPIVEFWKCPYHNGRMCLEIIKRVD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</si>
  <si>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</si>
  <si>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</si>
  <si>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ENGVA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</si>
  <si>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AASKTMNTHLHVLESYTNLYRLLKLDDVYEALEWIVRLFVDKIYKKGTGHFKVFCDDNWNELIKAVSYGHDIEASWLLDQAAKYLKDEKLKEEVEKLALEVAQITLKEAFDGQSLINEMIEDRIDRSKIWWVEAETVVGFFNAYQKTKEEKYLDAAIKTWEFIKEHLVDRRKNSEWLWKVNEDLEAVNMPIVEQWKCPYHNGRMCLEIIKRVD</t>
  </si>
  <si>
    <t>Note: The green background indicates the hit variants.</t>
    <phoneticPr fontId="3" type="noConversion"/>
  </si>
  <si>
    <t>N175T</t>
    <phoneticPr fontId="3" type="noConversion"/>
  </si>
  <si>
    <t>E174V</t>
    <phoneticPr fontId="3" type="noConversion"/>
  </si>
  <si>
    <t>N175L</t>
    <phoneticPr fontId="3" type="noConversion"/>
  </si>
  <si>
    <t>E174P</t>
    <phoneticPr fontId="3" type="noConversion"/>
  </si>
  <si>
    <t>E174L</t>
    <phoneticPr fontId="3" type="noConversion"/>
  </si>
  <si>
    <t>E174G</t>
    <phoneticPr fontId="3" type="noConversion"/>
  </si>
  <si>
    <t>E174Y</t>
    <phoneticPr fontId="3" type="noConversion"/>
  </si>
  <si>
    <t>E174N</t>
    <phoneticPr fontId="3" type="noConversion"/>
  </si>
  <si>
    <t>E174F</t>
    <phoneticPr fontId="3" type="noConversion"/>
  </si>
  <si>
    <t>N175A</t>
    <phoneticPr fontId="3" type="noConversion"/>
  </si>
  <si>
    <t>E174S</t>
    <phoneticPr fontId="3" type="noConversion"/>
  </si>
  <si>
    <t>E174Q</t>
    <phoneticPr fontId="3" type="noConversion"/>
  </si>
  <si>
    <t>N175S</t>
    <phoneticPr fontId="3" type="noConversion"/>
  </si>
  <si>
    <t>N175P</t>
    <phoneticPr fontId="3" type="noConversion"/>
  </si>
  <si>
    <t>N175M</t>
    <phoneticPr fontId="3" type="noConversion"/>
  </si>
  <si>
    <t>N175R</t>
    <phoneticPr fontId="3" type="noConversion"/>
  </si>
  <si>
    <t>N175D</t>
    <phoneticPr fontId="3" type="noConversion"/>
  </si>
  <si>
    <t>E174D</t>
    <phoneticPr fontId="3" type="noConversion"/>
  </si>
  <si>
    <t>N175W</t>
    <phoneticPr fontId="3" type="noConversion"/>
  </si>
  <si>
    <t>E174A</t>
    <phoneticPr fontId="3" type="noConversion"/>
  </si>
  <si>
    <t>E174T</t>
    <phoneticPr fontId="3" type="noConversion"/>
  </si>
  <si>
    <t>E174H</t>
    <phoneticPr fontId="3" type="noConversion"/>
  </si>
  <si>
    <t>E174I</t>
    <phoneticPr fontId="3" type="noConversion"/>
  </si>
  <si>
    <t>N175Q</t>
    <phoneticPr fontId="3" type="noConversion"/>
  </si>
  <si>
    <t>N175I</t>
    <phoneticPr fontId="3" type="noConversion"/>
  </si>
  <si>
    <t>E174K</t>
    <phoneticPr fontId="3" type="noConversion"/>
  </si>
  <si>
    <t>E174W</t>
    <phoneticPr fontId="3" type="noConversion"/>
  </si>
  <si>
    <t>E174M</t>
    <phoneticPr fontId="3" type="noConversion"/>
  </si>
  <si>
    <t>Q371E</t>
    <phoneticPr fontId="3" type="noConversion"/>
  </si>
  <si>
    <t>W355C</t>
    <phoneticPr fontId="3" type="noConversion"/>
  </si>
  <si>
    <t>W355V</t>
    <phoneticPr fontId="3" type="noConversion"/>
  </si>
  <si>
    <t>W355A</t>
    <phoneticPr fontId="3" type="noConversion"/>
  </si>
  <si>
    <t>Q371Y</t>
    <phoneticPr fontId="3" type="noConversion"/>
  </si>
  <si>
    <t>W355I</t>
    <phoneticPr fontId="3" type="noConversion"/>
  </si>
  <si>
    <t>Q371K</t>
    <phoneticPr fontId="3" type="noConversion"/>
  </si>
  <si>
    <t>W355K</t>
    <phoneticPr fontId="3" type="noConversion"/>
  </si>
  <si>
    <t>Q371H</t>
    <phoneticPr fontId="3" type="noConversion"/>
  </si>
  <si>
    <t>Q371P</t>
    <phoneticPr fontId="3" type="noConversion"/>
  </si>
  <si>
    <t>Q371S</t>
    <phoneticPr fontId="3" type="noConversion"/>
  </si>
  <si>
    <t>Q371V</t>
    <phoneticPr fontId="3" type="noConversion"/>
  </si>
  <si>
    <t>Q371L</t>
    <phoneticPr fontId="3" type="noConversion"/>
  </si>
  <si>
    <t>Q371A</t>
    <phoneticPr fontId="3" type="noConversion"/>
  </si>
  <si>
    <t>Q371T</t>
    <phoneticPr fontId="3" type="noConversion"/>
  </si>
  <si>
    <t>Q371D</t>
    <phoneticPr fontId="3" type="noConversion"/>
  </si>
  <si>
    <t>Q371N</t>
    <phoneticPr fontId="3" type="noConversion"/>
  </si>
  <si>
    <t>W355L</t>
    <phoneticPr fontId="3" type="noConversion"/>
  </si>
  <si>
    <t>Q371R</t>
    <phoneticPr fontId="3" type="noConversion"/>
  </si>
  <si>
    <t>W355F</t>
    <phoneticPr fontId="3" type="noConversion"/>
  </si>
  <si>
    <t>W355S</t>
    <phoneticPr fontId="3" type="noConversion"/>
  </si>
  <si>
    <t>W355E</t>
    <phoneticPr fontId="3" type="noConversion"/>
  </si>
  <si>
    <t>W355M</t>
    <phoneticPr fontId="3" type="noConversion"/>
  </si>
  <si>
    <t>Q371I</t>
    <phoneticPr fontId="3" type="noConversion"/>
  </si>
  <si>
    <t>Q371C</t>
    <phoneticPr fontId="3" type="noConversion"/>
  </si>
  <si>
    <t>Q371G</t>
    <phoneticPr fontId="3" type="noConversion"/>
  </si>
  <si>
    <t>Q371W</t>
    <phoneticPr fontId="3" type="noConversion"/>
  </si>
  <si>
    <t>Q371M</t>
    <phoneticPr fontId="3" type="noConversion"/>
  </si>
  <si>
    <t>Q371F</t>
    <phoneticPr fontId="3" type="noConversion"/>
  </si>
  <si>
    <t>W355N</t>
    <phoneticPr fontId="3" type="noConversion"/>
  </si>
  <si>
    <t>W355P</t>
    <phoneticPr fontId="3" type="noConversion"/>
  </si>
  <si>
    <t>N175K</t>
    <phoneticPr fontId="3" type="noConversion"/>
  </si>
  <si>
    <t>N175G</t>
    <phoneticPr fontId="3" type="noConversion"/>
  </si>
  <si>
    <t>W355G</t>
    <phoneticPr fontId="3" type="noConversion"/>
  </si>
  <si>
    <t>V177R</t>
    <phoneticPr fontId="3" type="noConversion"/>
  </si>
  <si>
    <t>V177K</t>
    <phoneticPr fontId="3" type="noConversion"/>
  </si>
  <si>
    <t>I178G</t>
    <phoneticPr fontId="3" type="noConversion"/>
  </si>
  <si>
    <t>V177I</t>
    <phoneticPr fontId="3" type="noConversion"/>
  </si>
  <si>
    <t>V177N</t>
    <phoneticPr fontId="3" type="noConversion"/>
  </si>
  <si>
    <t>V177Y</t>
    <phoneticPr fontId="3" type="noConversion"/>
  </si>
  <si>
    <t>V177L</t>
    <phoneticPr fontId="3" type="noConversion"/>
  </si>
  <si>
    <t>V177T</t>
    <phoneticPr fontId="3" type="noConversion"/>
  </si>
  <si>
    <t>I178H</t>
    <phoneticPr fontId="3" type="noConversion"/>
  </si>
  <si>
    <t>V177A</t>
    <phoneticPr fontId="3" type="noConversion"/>
  </si>
  <si>
    <t>N175E</t>
    <phoneticPr fontId="3" type="noConversion"/>
  </si>
  <si>
    <t>N175C</t>
    <phoneticPr fontId="3" type="noConversion"/>
  </si>
  <si>
    <t>N175V</t>
    <phoneticPr fontId="3" type="noConversion"/>
  </si>
  <si>
    <t>W355H</t>
    <phoneticPr fontId="3" type="noConversion"/>
  </si>
  <si>
    <t>V177D</t>
    <phoneticPr fontId="3" type="noConversion"/>
  </si>
  <si>
    <t>I178V</t>
    <phoneticPr fontId="3" type="noConversion"/>
  </si>
  <si>
    <t>N175F</t>
    <phoneticPr fontId="3" type="noConversion"/>
  </si>
  <si>
    <t>V177E</t>
    <phoneticPr fontId="3" type="noConversion"/>
  </si>
  <si>
    <t>N175H</t>
    <phoneticPr fontId="3" type="noConversion"/>
  </si>
  <si>
    <t>W355Y</t>
    <phoneticPr fontId="3" type="noConversion"/>
  </si>
  <si>
    <t>W355R</t>
    <phoneticPr fontId="3" type="noConversion"/>
  </si>
  <si>
    <t>W355D</t>
    <phoneticPr fontId="3" type="noConversion"/>
  </si>
  <si>
    <t>W355Q</t>
    <phoneticPr fontId="3" type="noConversion"/>
  </si>
  <si>
    <t>N175Y</t>
    <phoneticPr fontId="3" type="noConversion"/>
  </si>
  <si>
    <t>I178W</t>
    <phoneticPr fontId="3" type="noConversion"/>
  </si>
  <si>
    <t>I178Y</t>
    <phoneticPr fontId="3" type="noConversion"/>
  </si>
  <si>
    <t>I178S</t>
    <phoneticPr fontId="3" type="noConversion"/>
  </si>
  <si>
    <t>I178F</t>
    <phoneticPr fontId="3" type="noConversion"/>
  </si>
  <si>
    <t>I178M</t>
    <phoneticPr fontId="3" type="noConversion"/>
  </si>
  <si>
    <t>I178T</t>
    <phoneticPr fontId="3" type="noConversion"/>
  </si>
  <si>
    <t>I178P</t>
    <phoneticPr fontId="3" type="noConversion"/>
  </si>
  <si>
    <t>I178L</t>
    <phoneticPr fontId="3" type="noConversion"/>
  </si>
  <si>
    <t>I178C</t>
    <phoneticPr fontId="3" type="noConversion"/>
  </si>
  <si>
    <t>I178A</t>
    <phoneticPr fontId="3" type="noConversion"/>
  </si>
  <si>
    <t>G176L</t>
    <phoneticPr fontId="3" type="noConversion"/>
  </si>
  <si>
    <t>G176Q</t>
    <phoneticPr fontId="3" type="noConversion"/>
  </si>
  <si>
    <t>G176T</t>
    <phoneticPr fontId="3" type="noConversion"/>
  </si>
  <si>
    <t>G176H</t>
    <phoneticPr fontId="3" type="noConversion"/>
  </si>
  <si>
    <t>G176C</t>
    <phoneticPr fontId="3" type="noConversion"/>
  </si>
  <si>
    <t>G176P</t>
    <phoneticPr fontId="3" type="noConversion"/>
  </si>
  <si>
    <t>G176E</t>
    <phoneticPr fontId="3" type="noConversion"/>
  </si>
  <si>
    <t>G176V</t>
    <phoneticPr fontId="3" type="noConversion"/>
  </si>
  <si>
    <t>G176S</t>
    <phoneticPr fontId="3" type="noConversion"/>
  </si>
  <si>
    <t>G176R</t>
    <phoneticPr fontId="3" type="noConversion"/>
  </si>
  <si>
    <t>G176F</t>
    <phoneticPr fontId="3" type="noConversion"/>
  </si>
  <si>
    <t>G176W</t>
    <phoneticPr fontId="3" type="noConversion"/>
  </si>
  <si>
    <t>G176Y</t>
    <phoneticPr fontId="3" type="noConversion"/>
  </si>
  <si>
    <t>G176D</t>
    <phoneticPr fontId="3" type="noConversion"/>
  </si>
  <si>
    <t>G176K</t>
    <phoneticPr fontId="3" type="noConversion"/>
  </si>
  <si>
    <t>G176A</t>
    <phoneticPr fontId="3" type="noConversion"/>
  </si>
  <si>
    <t>G176I</t>
    <phoneticPr fontId="3" type="noConversion"/>
  </si>
  <si>
    <t>G176N</t>
    <phoneticPr fontId="3" type="noConversion"/>
  </si>
  <si>
    <t>G176M</t>
    <phoneticPr fontId="3" type="noConversion"/>
  </si>
  <si>
    <t>V177G</t>
    <phoneticPr fontId="3" type="noConversion"/>
  </si>
  <si>
    <t>V177Q</t>
    <phoneticPr fontId="3" type="noConversion"/>
  </si>
  <si>
    <t>V177C</t>
    <phoneticPr fontId="3" type="noConversion"/>
  </si>
  <si>
    <t>V177P</t>
    <phoneticPr fontId="3" type="noConversion"/>
  </si>
  <si>
    <t>V177M</t>
    <phoneticPr fontId="3" type="noConversion"/>
  </si>
  <si>
    <t>I178N</t>
    <phoneticPr fontId="3" type="noConversion"/>
  </si>
  <si>
    <t>W355T</t>
    <phoneticPr fontId="3" type="noConversion"/>
  </si>
  <si>
    <t>V177S</t>
    <phoneticPr fontId="3" type="noConversion"/>
  </si>
  <si>
    <t>V177H</t>
    <phoneticPr fontId="3" type="noConversion"/>
  </si>
  <si>
    <t>V177W</t>
    <phoneticPr fontId="3" type="noConversion"/>
  </si>
  <si>
    <t>I178Q</t>
    <phoneticPr fontId="3" type="noConversion"/>
  </si>
  <si>
    <t>I178K</t>
    <phoneticPr fontId="3" type="noConversion"/>
  </si>
  <si>
    <t>I178D</t>
    <phoneticPr fontId="3" type="noConversion"/>
  </si>
  <si>
    <t>I178E</t>
    <phoneticPr fontId="3" type="noConversion"/>
  </si>
  <si>
    <t>I178R</t>
    <phoneticPr fontId="3" type="noConversion"/>
  </si>
  <si>
    <t>E174R</t>
    <phoneticPr fontId="3" type="noConversion"/>
  </si>
  <si>
    <t>E174C</t>
    <phoneticPr fontId="3" type="noConversion"/>
  </si>
  <si>
    <t>V177F</t>
    <phoneticPr fontId="3" type="noConversion"/>
  </si>
  <si>
    <t>N175T,V177Q</t>
    <phoneticPr fontId="3" type="noConversion"/>
  </si>
  <si>
    <t>W355A,Q371E</t>
    <phoneticPr fontId="3" type="noConversion"/>
  </si>
  <si>
    <t>V177Q,W355A</t>
    <phoneticPr fontId="3" type="noConversion"/>
  </si>
  <si>
    <t>N175T,I178A</t>
    <phoneticPr fontId="3" type="noConversion"/>
  </si>
  <si>
    <t>N175T,Q371E</t>
    <phoneticPr fontId="3" type="noConversion"/>
  </si>
  <si>
    <t>E174P,Q371E</t>
    <phoneticPr fontId="3" type="noConversion"/>
  </si>
  <si>
    <t>E174P,W355A</t>
    <phoneticPr fontId="3" type="noConversion"/>
  </si>
  <si>
    <t>V177Q,W355S</t>
    <phoneticPr fontId="3" type="noConversion"/>
  </si>
  <si>
    <t>I178P,Q371F</t>
    <phoneticPr fontId="3" type="noConversion"/>
  </si>
  <si>
    <t>V177Q,Q371S</t>
    <phoneticPr fontId="3" type="noConversion"/>
  </si>
  <si>
    <t>V177Q,Q371E</t>
    <phoneticPr fontId="3" type="noConversion"/>
  </si>
  <si>
    <t>I178A,Q371E</t>
    <phoneticPr fontId="3" type="noConversion"/>
  </si>
  <si>
    <t>E174P,I178A</t>
    <phoneticPr fontId="3" type="noConversion"/>
  </si>
  <si>
    <r>
      <rPr>
        <b/>
        <sz val="12"/>
        <rFont val="Times New Roman"/>
        <family val="1"/>
      </rPr>
      <t xml:space="preserve">Table S4. </t>
    </r>
    <r>
      <rPr>
        <sz val="12"/>
        <rFont val="Times New Roman"/>
        <family val="1"/>
      </rPr>
      <t>Volumetric isomerization activity of single-site saturation mutants for the initial seven key residues.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</si>
</sst>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176" fontId="1" fillId="0" borderId="0" xfId="0" applyNumberFormat="1" applyFont="1" applyAlignment="1"/>
    <xf numFmtId="0" fontId="1" fillId="0" borderId="0" xfId="0" applyFont="1" applyAlignment="1"/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74FC-B1C9-4EF3-8F5D-D09469A0BD2E}">
  <dimension ref="A1:X160"/>
  <sheetViews>
    <sheetView tabSelected="1" workbookViewId="0">
      <selection activeCell="K5" sqref="K5"/>
    </sheetView>
  </sheetViews>
  <sheetFormatPr defaultColWidth="8.7265625" defaultRowHeight="15.5" x14ac:dyDescent="0.25"/>
  <cols>
    <col min="1" max="1" width="10.1796875" style="1" customWidth="1"/>
    <col min="2" max="2" width="22.7265625" style="1" customWidth="1"/>
    <col min="3" max="3" width="12.81640625" style="1" customWidth="1"/>
    <col min="4" max="4" width="12.7265625" style="8" customWidth="1"/>
    <col min="5" max="5" width="12" style="8" customWidth="1"/>
    <col min="6" max="6" width="14.7265625" style="8" customWidth="1"/>
    <col min="7" max="7" width="8.7265625" style="8"/>
    <col min="8" max="8" width="17.26953125" style="8" customWidth="1"/>
    <col min="9" max="11" width="8.7265625" style="1"/>
    <col min="12" max="12" width="13.90625" style="1" customWidth="1"/>
    <col min="13" max="13" width="8.7265625" style="1"/>
    <col min="14" max="14" width="22.36328125" style="1" customWidth="1"/>
    <col min="15" max="15" width="17.90625" style="1" customWidth="1"/>
    <col min="16" max="16384" width="8.7265625" style="1"/>
  </cols>
  <sheetData>
    <row r="1" spans="1:15" ht="24.5" customHeight="1" x14ac:dyDescent="0.25">
      <c r="A1" s="14" t="s">
        <v>302</v>
      </c>
      <c r="B1" s="14"/>
      <c r="C1" s="14"/>
      <c r="D1" s="14"/>
      <c r="E1" s="14"/>
      <c r="F1" s="14"/>
      <c r="G1" s="14"/>
      <c r="H1" s="14"/>
    </row>
    <row r="2" spans="1:15" s="5" customFormat="1" ht="30" x14ac:dyDescent="0.25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N2" s="6"/>
      <c r="O2" s="6"/>
    </row>
    <row r="3" spans="1:15" x14ac:dyDescent="0.25">
      <c r="A3" s="7">
        <v>45359</v>
      </c>
      <c r="B3" s="1" t="s">
        <v>156</v>
      </c>
      <c r="C3" s="1" t="s">
        <v>7</v>
      </c>
      <c r="D3" s="8">
        <v>995.35238746544906</v>
      </c>
      <c r="E3" s="8">
        <v>908.80034890354204</v>
      </c>
      <c r="F3" s="8">
        <v>952.076368184496</v>
      </c>
      <c r="G3" s="8">
        <v>61.201533392643803</v>
      </c>
      <c r="H3" s="8">
        <f>F3/$F$31*$H$31</f>
        <v>1113.3665588312874</v>
      </c>
    </row>
    <row r="4" spans="1:15" x14ac:dyDescent="0.25">
      <c r="B4" s="1" t="s">
        <v>157</v>
      </c>
      <c r="C4" s="1" t="s">
        <v>8</v>
      </c>
      <c r="D4" s="8">
        <v>833.066638126013</v>
      </c>
      <c r="E4" s="8">
        <v>811.42889929988098</v>
      </c>
      <c r="F4" s="8">
        <v>822.24776871294705</v>
      </c>
      <c r="G4" s="8">
        <v>15.300191853501699</v>
      </c>
      <c r="H4" s="8">
        <f t="shared" ref="H4:H30" si="0">F4/$F$31*$H$31</f>
        <v>961.54384180790544</v>
      </c>
    </row>
    <row r="5" spans="1:15" x14ac:dyDescent="0.25">
      <c r="B5" s="1" t="s">
        <v>158</v>
      </c>
      <c r="C5" s="1" t="s">
        <v>9</v>
      </c>
      <c r="D5" s="8">
        <v>481.44751455723502</v>
      </c>
      <c r="E5" s="8">
        <v>508.49550053293302</v>
      </c>
      <c r="F5" s="8">
        <v>494.97150754508402</v>
      </c>
      <c r="G5" s="8">
        <v>19.125814300854799</v>
      </c>
      <c r="H5" s="8">
        <f t="shared" si="0"/>
        <v>578.82407597813005</v>
      </c>
    </row>
    <row r="6" spans="1:15" x14ac:dyDescent="0.25">
      <c r="B6" s="9" t="s">
        <v>159</v>
      </c>
      <c r="C6" s="9" t="s">
        <v>10</v>
      </c>
      <c r="D6" s="10">
        <v>1687.7715846470401</v>
      </c>
      <c r="E6" s="10">
        <v>1617.44812101908</v>
      </c>
      <c r="F6" s="10">
        <v>1652.6098528330599</v>
      </c>
      <c r="G6" s="10">
        <v>49.726198007858699</v>
      </c>
      <c r="H6" s="10">
        <f t="shared" si="0"/>
        <v>1932.5766361032834</v>
      </c>
    </row>
    <row r="7" spans="1:15" x14ac:dyDescent="0.25">
      <c r="B7" s="1" t="s">
        <v>160</v>
      </c>
      <c r="C7" s="1" t="s">
        <v>11</v>
      </c>
      <c r="D7" s="8">
        <v>578.81896416089603</v>
      </c>
      <c r="E7" s="8">
        <v>632.91457502650098</v>
      </c>
      <c r="F7" s="8">
        <v>605.86676959369902</v>
      </c>
      <c r="G7" s="8">
        <v>38.251373275497599</v>
      </c>
      <c r="H7" s="8">
        <f t="shared" si="0"/>
        <v>708.50598010226906</v>
      </c>
    </row>
    <row r="8" spans="1:15" x14ac:dyDescent="0.25">
      <c r="B8" s="1" t="s">
        <v>161</v>
      </c>
      <c r="C8" s="1" t="s">
        <v>12</v>
      </c>
      <c r="D8" s="8">
        <v>687.00946372052101</v>
      </c>
      <c r="E8" s="8">
        <v>773.56222445401204</v>
      </c>
      <c r="F8" s="8">
        <v>730.28584408726601</v>
      </c>
      <c r="G8" s="8">
        <v>61.202044045068497</v>
      </c>
      <c r="H8" s="8">
        <f t="shared" si="0"/>
        <v>854.00275058300929</v>
      </c>
    </row>
    <row r="9" spans="1:15" x14ac:dyDescent="0.25">
      <c r="B9" s="1" t="s">
        <v>162</v>
      </c>
      <c r="C9" s="1" t="s">
        <v>13</v>
      </c>
      <c r="D9" s="8">
        <v>1071.0857371571899</v>
      </c>
      <c r="E9" s="8">
        <v>930.43844881546704</v>
      </c>
      <c r="F9" s="8">
        <v>1000.76209298633</v>
      </c>
      <c r="G9" s="8">
        <v>99.452651341929496</v>
      </c>
      <c r="H9" s="8">
        <f t="shared" si="0"/>
        <v>1170.3000777150594</v>
      </c>
    </row>
    <row r="10" spans="1:15" x14ac:dyDescent="0.25">
      <c r="B10" s="1" t="s">
        <v>163</v>
      </c>
      <c r="C10" s="1" t="s">
        <v>14</v>
      </c>
      <c r="D10" s="8">
        <v>1011.58096239939</v>
      </c>
      <c r="E10" s="8">
        <v>827.65747423382402</v>
      </c>
      <c r="F10" s="8">
        <v>919.619218316608</v>
      </c>
      <c r="G10" s="8">
        <v>130.053545701357</v>
      </c>
      <c r="H10" s="8">
        <f t="shared" si="0"/>
        <v>1075.410879575441</v>
      </c>
    </row>
    <row r="11" spans="1:15" x14ac:dyDescent="0.25">
      <c r="B11" s="1" t="s">
        <v>164</v>
      </c>
      <c r="C11" s="1" t="s">
        <v>15</v>
      </c>
      <c r="D11" s="8">
        <v>860.11426301591905</v>
      </c>
      <c r="E11" s="8">
        <v>503.08597555495197</v>
      </c>
      <c r="F11" s="8">
        <v>681.60011928543497</v>
      </c>
      <c r="G11" s="8">
        <v>252.45712313907001</v>
      </c>
      <c r="H11" s="8">
        <f t="shared" si="0"/>
        <v>797.06923169924085</v>
      </c>
    </row>
    <row r="12" spans="1:15" x14ac:dyDescent="0.25">
      <c r="B12" s="1" t="s">
        <v>165</v>
      </c>
      <c r="C12" s="1" t="s">
        <v>16</v>
      </c>
      <c r="D12" s="8">
        <v>730.28566354436998</v>
      </c>
      <c r="E12" s="8">
        <v>741.10507458612403</v>
      </c>
      <c r="F12" s="8">
        <v>735.69536906524695</v>
      </c>
      <c r="G12" s="8">
        <v>7.6504789160689803</v>
      </c>
      <c r="H12" s="8">
        <f t="shared" si="0"/>
        <v>860.32869712564991</v>
      </c>
    </row>
    <row r="13" spans="1:15" x14ac:dyDescent="0.25">
      <c r="B13" s="1" t="s">
        <v>166</v>
      </c>
      <c r="C13" s="1" t="s">
        <v>17</v>
      </c>
      <c r="D13" s="8">
        <v>876.342837949863</v>
      </c>
      <c r="E13" s="8">
        <v>935.84797379344798</v>
      </c>
      <c r="F13" s="8">
        <v>906.09540587165498</v>
      </c>
      <c r="G13" s="8">
        <v>42.076485070426003</v>
      </c>
      <c r="H13" s="8">
        <f t="shared" si="0"/>
        <v>1059.5960132188386</v>
      </c>
    </row>
    <row r="14" spans="1:15" x14ac:dyDescent="0.25">
      <c r="B14" s="1" t="s">
        <v>167</v>
      </c>
      <c r="C14" s="1" t="s">
        <v>18</v>
      </c>
      <c r="D14" s="8">
        <v>914.20951279573103</v>
      </c>
      <c r="E14" s="8">
        <v>973.71464863931601</v>
      </c>
      <c r="F14" s="8">
        <v>943.96208071752403</v>
      </c>
      <c r="G14" s="8">
        <v>42.076485070426003</v>
      </c>
      <c r="H14" s="8">
        <f t="shared" si="0"/>
        <v>1103.8776390173259</v>
      </c>
    </row>
    <row r="15" spans="1:15" x14ac:dyDescent="0.25">
      <c r="B15" s="1" t="s">
        <v>168</v>
      </c>
      <c r="C15" s="1" t="s">
        <v>19</v>
      </c>
      <c r="D15" s="8">
        <v>816.83806319206894</v>
      </c>
      <c r="E15" s="8">
        <v>876.34319903565495</v>
      </c>
      <c r="F15" s="8">
        <v>846.59063111386195</v>
      </c>
      <c r="G15" s="8">
        <v>42.076485070426102</v>
      </c>
      <c r="H15" s="8">
        <f t="shared" si="0"/>
        <v>990.01060124978903</v>
      </c>
    </row>
    <row r="16" spans="1:15" x14ac:dyDescent="0.25">
      <c r="B16" s="1" t="s">
        <v>169</v>
      </c>
      <c r="C16" s="1" t="s">
        <v>20</v>
      </c>
      <c r="D16" s="8">
        <v>806.01901323610696</v>
      </c>
      <c r="E16" s="8">
        <v>811.42889929988098</v>
      </c>
      <c r="F16" s="8">
        <v>808.72395626799403</v>
      </c>
      <c r="G16" s="8">
        <v>3.8253671211409701</v>
      </c>
      <c r="H16" s="8">
        <f t="shared" si="0"/>
        <v>945.72897545130309</v>
      </c>
    </row>
    <row r="17" spans="2:8" x14ac:dyDescent="0.25">
      <c r="B17" s="1" t="s">
        <v>170</v>
      </c>
      <c r="C17" s="1" t="s">
        <v>21</v>
      </c>
      <c r="D17" s="8">
        <v>724.87613856638905</v>
      </c>
      <c r="E17" s="8">
        <v>708.64792471823705</v>
      </c>
      <c r="F17" s="8">
        <v>716.76203164231299</v>
      </c>
      <c r="G17" s="8">
        <v>11.4750800585735</v>
      </c>
      <c r="H17" s="8">
        <f t="shared" si="0"/>
        <v>838.18788422640705</v>
      </c>
    </row>
    <row r="18" spans="2:8" x14ac:dyDescent="0.25">
      <c r="B18" s="1" t="s">
        <v>171</v>
      </c>
      <c r="C18" s="1" t="s">
        <v>22</v>
      </c>
      <c r="D18" s="8">
        <v>351.61891508568601</v>
      </c>
      <c r="E18" s="8">
        <v>459.80977573110198</v>
      </c>
      <c r="F18" s="8">
        <v>405.71434540839402</v>
      </c>
      <c r="G18" s="8">
        <v>76.502491224782503</v>
      </c>
      <c r="H18" s="8">
        <f t="shared" si="0"/>
        <v>474.44595802455484</v>
      </c>
    </row>
    <row r="19" spans="2:8" x14ac:dyDescent="0.25">
      <c r="B19" s="1" t="s">
        <v>172</v>
      </c>
      <c r="C19" s="1" t="s">
        <v>23</v>
      </c>
      <c r="D19" s="8">
        <v>751.92376345629498</v>
      </c>
      <c r="E19" s="8">
        <v>822.24794925584297</v>
      </c>
      <c r="F19" s="8">
        <v>787.08585635606903</v>
      </c>
      <c r="G19" s="8">
        <v>49.726708660283101</v>
      </c>
      <c r="H19" s="8">
        <f t="shared" si="0"/>
        <v>920.42518928073935</v>
      </c>
    </row>
    <row r="20" spans="2:8" x14ac:dyDescent="0.25">
      <c r="B20" s="1" t="s">
        <v>173</v>
      </c>
      <c r="C20" s="1" t="s">
        <v>24</v>
      </c>
      <c r="D20" s="8">
        <v>935.84761270765603</v>
      </c>
      <c r="E20" s="8">
        <v>935.84797379344798</v>
      </c>
      <c r="F20" s="8">
        <v>935.84779325055194</v>
      </c>
      <c r="G20" s="8">
        <v>2.5532621240033099E-4</v>
      </c>
      <c r="H20" s="8">
        <f t="shared" si="0"/>
        <v>1094.3887192033642</v>
      </c>
    </row>
    <row r="21" spans="2:8" x14ac:dyDescent="0.25">
      <c r="B21" s="1" t="s">
        <v>174</v>
      </c>
      <c r="C21" s="1" t="s">
        <v>25</v>
      </c>
      <c r="D21" s="8">
        <v>627.50468896272696</v>
      </c>
      <c r="E21" s="8">
        <v>600.45742515861298</v>
      </c>
      <c r="F21" s="8">
        <v>613.98105706066997</v>
      </c>
      <c r="G21" s="8">
        <v>19.1253036484304</v>
      </c>
      <c r="H21" s="8">
        <f t="shared" si="0"/>
        <v>717.99489991622943</v>
      </c>
    </row>
    <row r="22" spans="2:8" x14ac:dyDescent="0.25">
      <c r="B22" s="1" t="s">
        <v>175</v>
      </c>
      <c r="C22" s="1" t="s">
        <v>26</v>
      </c>
      <c r="D22" s="8">
        <v>925.02856275169302</v>
      </c>
      <c r="E22" s="8">
        <v>962.89559868335402</v>
      </c>
      <c r="F22" s="8">
        <v>943.96208071752403</v>
      </c>
      <c r="G22" s="8">
        <v>26.776037890712001</v>
      </c>
      <c r="H22" s="8">
        <f t="shared" si="0"/>
        <v>1103.8776390173259</v>
      </c>
    </row>
    <row r="23" spans="2:8" x14ac:dyDescent="0.25">
      <c r="B23" s="1" t="s">
        <v>176</v>
      </c>
      <c r="C23" s="1" t="s">
        <v>27</v>
      </c>
      <c r="D23" s="8">
        <v>1163.0476617828699</v>
      </c>
      <c r="E23" s="8">
        <v>854.70509912372995</v>
      </c>
      <c r="F23" s="8">
        <v>1008.8763804533</v>
      </c>
      <c r="G23" s="8">
        <v>218.03111698471301</v>
      </c>
      <c r="H23" s="8">
        <f t="shared" si="0"/>
        <v>1179.7889975290186</v>
      </c>
    </row>
    <row r="24" spans="2:8" x14ac:dyDescent="0.25">
      <c r="B24" s="1" t="s">
        <v>177</v>
      </c>
      <c r="C24" s="1" t="s">
        <v>28</v>
      </c>
      <c r="D24" s="8">
        <v>1217.14291156268</v>
      </c>
      <c r="E24" s="8">
        <v>1011.58132348519</v>
      </c>
      <c r="F24" s="8">
        <v>1114.36211752393</v>
      </c>
      <c r="G24" s="8">
        <v>145.35399288107101</v>
      </c>
      <c r="H24" s="8">
        <f t="shared" si="0"/>
        <v>1303.1449551105122</v>
      </c>
    </row>
    <row r="25" spans="2:8" x14ac:dyDescent="0.25">
      <c r="B25" s="1" t="s">
        <v>178</v>
      </c>
      <c r="C25" s="1" t="s">
        <v>29</v>
      </c>
      <c r="D25" s="8">
        <v>81.142666186625405</v>
      </c>
      <c r="E25" s="8">
        <v>32.457302470586903</v>
      </c>
      <c r="F25" s="8">
        <v>56.7999843286062</v>
      </c>
      <c r="G25" s="8">
        <v>34.425750828144402</v>
      </c>
      <c r="H25" s="8">
        <f t="shared" si="0"/>
        <v>66.422406024215761</v>
      </c>
    </row>
    <row r="26" spans="2:8" x14ac:dyDescent="0.25">
      <c r="B26" s="1" t="s">
        <v>179</v>
      </c>
      <c r="C26" s="1" t="s">
        <v>30</v>
      </c>
      <c r="D26" s="8">
        <v>784.38091332418196</v>
      </c>
      <c r="E26" s="8">
        <v>806.01937432189902</v>
      </c>
      <c r="F26" s="8">
        <v>795.20014382303998</v>
      </c>
      <c r="G26" s="8">
        <v>15.300702505926401</v>
      </c>
      <c r="H26" s="8">
        <f t="shared" si="0"/>
        <v>929.9141090946996</v>
      </c>
    </row>
    <row r="27" spans="2:8" x14ac:dyDescent="0.25">
      <c r="B27" s="1" t="s">
        <v>180</v>
      </c>
      <c r="C27" s="1" t="s">
        <v>31</v>
      </c>
      <c r="D27" s="8">
        <v>817.62455065507504</v>
      </c>
      <c r="E27" s="8">
        <v>764.53193678861896</v>
      </c>
      <c r="F27" s="8">
        <v>791.078243721847</v>
      </c>
      <c r="G27" s="8">
        <v>37.542147295890302</v>
      </c>
      <c r="H27" s="8">
        <f t="shared" si="0"/>
        <v>925.09392251632391</v>
      </c>
    </row>
    <row r="28" spans="2:8" x14ac:dyDescent="0.25">
      <c r="B28" s="1" t="s">
        <v>181</v>
      </c>
      <c r="C28" s="1" t="s">
        <v>32</v>
      </c>
      <c r="D28" s="8">
        <v>438.17131473338497</v>
      </c>
      <c r="E28" s="8">
        <v>454.40025075312099</v>
      </c>
      <c r="F28" s="8">
        <v>446.28578274325298</v>
      </c>
      <c r="G28" s="8">
        <v>11.4755907109978</v>
      </c>
      <c r="H28" s="8">
        <f t="shared" si="0"/>
        <v>521.8905570943615</v>
      </c>
    </row>
    <row r="29" spans="2:8" x14ac:dyDescent="0.25">
      <c r="B29" s="1" t="s">
        <v>182</v>
      </c>
      <c r="C29" s="1" t="s">
        <v>33</v>
      </c>
      <c r="D29" s="8">
        <v>865.52378799389999</v>
      </c>
      <c r="E29" s="8">
        <v>546.362175378801</v>
      </c>
      <c r="F29" s="8">
        <v>705.942981686351</v>
      </c>
      <c r="G29" s="8">
        <v>225.68134057456999</v>
      </c>
      <c r="H29" s="8">
        <f t="shared" si="0"/>
        <v>825.53599114112558</v>
      </c>
    </row>
    <row r="30" spans="2:8" x14ac:dyDescent="0.25">
      <c r="B30" s="1" t="s">
        <v>183</v>
      </c>
      <c r="C30" s="1" t="s">
        <v>34</v>
      </c>
      <c r="D30" s="8">
        <v>567.99991420493404</v>
      </c>
      <c r="E30" s="8">
        <v>751.92412454208704</v>
      </c>
      <c r="F30" s="8">
        <v>659.96201937350997</v>
      </c>
      <c r="G30" s="8">
        <v>130.05405635378301</v>
      </c>
      <c r="H30" s="8">
        <f t="shared" si="0"/>
        <v>771.76544552867699</v>
      </c>
    </row>
    <row r="31" spans="2:8" x14ac:dyDescent="0.35">
      <c r="B31" s="1" t="s">
        <v>184</v>
      </c>
      <c r="C31" s="1" t="s">
        <v>35</v>
      </c>
      <c r="D31" s="8">
        <v>1157.6381368048901</v>
      </c>
      <c r="E31" s="8">
        <v>1195.5051727365501</v>
      </c>
      <c r="F31" s="8">
        <v>1176.57165477072</v>
      </c>
      <c r="G31" s="8">
        <v>26.776037890711802</v>
      </c>
      <c r="H31" s="11">
        <v>1375.89334035089</v>
      </c>
    </row>
    <row r="32" spans="2:8" x14ac:dyDescent="0.35">
      <c r="H32" s="11"/>
    </row>
    <row r="33" spans="1:24" x14ac:dyDescent="0.25">
      <c r="A33" s="7">
        <v>45363</v>
      </c>
      <c r="B33" s="1" t="s">
        <v>185</v>
      </c>
      <c r="C33" s="1" t="s">
        <v>36</v>
      </c>
      <c r="D33" s="8">
        <v>156.87603340522301</v>
      </c>
      <c r="E33" s="8">
        <v>340.799865129723</v>
      </c>
      <c r="F33" s="8">
        <v>248.83794926747299</v>
      </c>
      <c r="G33" s="8">
        <v>130.053788634207</v>
      </c>
      <c r="H33" s="8">
        <f>F33/$F$61*$H$61</f>
        <v>322.91354479656667</v>
      </c>
    </row>
    <row r="34" spans="1:24" x14ac:dyDescent="0.25">
      <c r="B34" s="1" t="s">
        <v>186</v>
      </c>
      <c r="C34" s="1" t="s">
        <v>37</v>
      </c>
      <c r="D34" s="8">
        <v>5.4093340217495198</v>
      </c>
      <c r="E34" s="8">
        <v>16.228366450850899</v>
      </c>
      <c r="F34" s="8">
        <v>10.8188502363002</v>
      </c>
      <c r="G34" s="8">
        <v>7.6502111964947597</v>
      </c>
      <c r="H34" s="8">
        <f t="shared" ref="H34:H60" si="1">F34/$F$61*$H$61</f>
        <v>14.039471433964001</v>
      </c>
    </row>
    <row r="35" spans="1:24" x14ac:dyDescent="0.25">
      <c r="B35" s="1" t="s">
        <v>187</v>
      </c>
      <c r="C35" s="1" t="s">
        <v>38</v>
      </c>
      <c r="D35" s="8">
        <v>470.62848212813299</v>
      </c>
      <c r="E35" s="8">
        <v>427.35226477742202</v>
      </c>
      <c r="F35" s="8">
        <v>448.99037345277799</v>
      </c>
      <c r="G35" s="8">
        <v>30.6009067527905</v>
      </c>
      <c r="H35" s="8">
        <f t="shared" si="1"/>
        <v>582.64856103330146</v>
      </c>
    </row>
    <row r="36" spans="1:24" x14ac:dyDescent="0.25">
      <c r="B36" s="1" t="s">
        <v>188</v>
      </c>
      <c r="C36" s="1" t="s">
        <v>39</v>
      </c>
      <c r="D36" s="8">
        <v>248.83795803090399</v>
      </c>
      <c r="E36" s="8">
        <v>384.076064953573</v>
      </c>
      <c r="F36" s="8">
        <v>316.457011492238</v>
      </c>
      <c r="G36" s="8">
        <v>95.627782479850595</v>
      </c>
      <c r="H36" s="8">
        <f t="shared" si="1"/>
        <v>410.6618610927606</v>
      </c>
    </row>
    <row r="37" spans="1:24" x14ac:dyDescent="0.25">
      <c r="B37" s="1" t="s">
        <v>189</v>
      </c>
      <c r="C37" s="1" t="s">
        <v>40</v>
      </c>
      <c r="D37" s="8">
        <v>384.07608248043402</v>
      </c>
      <c r="E37" s="8">
        <v>443.58083971136602</v>
      </c>
      <c r="F37" s="8">
        <v>413.82846109590002</v>
      </c>
      <c r="G37" s="8">
        <v>42.0762173508515</v>
      </c>
      <c r="H37" s="8">
        <f t="shared" si="1"/>
        <v>537.01943655928051</v>
      </c>
    </row>
    <row r="38" spans="1:24" x14ac:dyDescent="0.25">
      <c r="B38" s="1" t="s">
        <v>190</v>
      </c>
      <c r="C38" s="1" t="s">
        <v>41</v>
      </c>
      <c r="D38" s="8">
        <v>605.86660657766299</v>
      </c>
      <c r="E38" s="8">
        <v>605.86658905080196</v>
      </c>
      <c r="F38" s="8">
        <v>605.86659781423305</v>
      </c>
      <c r="G38" s="8">
        <v>1.23933621258716E-5</v>
      </c>
      <c r="H38" s="8">
        <f t="shared" si="1"/>
        <v>786.22465484047177</v>
      </c>
    </row>
    <row r="39" spans="1:24" x14ac:dyDescent="0.25">
      <c r="B39" s="1" t="s">
        <v>191</v>
      </c>
      <c r="C39" s="1" t="s">
        <v>42</v>
      </c>
      <c r="D39" s="8">
        <v>313.75225776667799</v>
      </c>
      <c r="E39" s="8">
        <v>329.98081517376102</v>
      </c>
      <c r="F39" s="8">
        <v>321.86653647022001</v>
      </c>
      <c r="G39" s="8">
        <v>11.475322991423299</v>
      </c>
      <c r="H39" s="8">
        <f t="shared" si="1"/>
        <v>417.68172639645718</v>
      </c>
    </row>
    <row r="40" spans="1:24" x14ac:dyDescent="0.25">
      <c r="B40" s="1" t="s">
        <v>192</v>
      </c>
      <c r="C40" s="1" t="s">
        <v>43</v>
      </c>
      <c r="D40" s="8">
        <v>551.77135679785101</v>
      </c>
      <c r="E40" s="8">
        <v>546.36181429300905</v>
      </c>
      <c r="F40" s="8">
        <v>549.06658554543003</v>
      </c>
      <c r="G40" s="8">
        <v>3.8251241882907001</v>
      </c>
      <c r="H40" s="8">
        <f t="shared" si="1"/>
        <v>712.51606915166838</v>
      </c>
    </row>
    <row r="41" spans="1:24" x14ac:dyDescent="0.25">
      <c r="B41" s="1" t="s">
        <v>193</v>
      </c>
      <c r="C41" s="1" t="s">
        <v>44</v>
      </c>
      <c r="D41" s="8">
        <v>616.685656533626</v>
      </c>
      <c r="E41" s="8">
        <v>622.09516398474602</v>
      </c>
      <c r="F41" s="8">
        <v>619.39041025918596</v>
      </c>
      <c r="G41" s="8">
        <v>3.8250994015662001</v>
      </c>
      <c r="H41" s="8">
        <f t="shared" si="1"/>
        <v>803.77431809971051</v>
      </c>
    </row>
    <row r="42" spans="1:24" x14ac:dyDescent="0.25">
      <c r="B42" s="1" t="s">
        <v>194</v>
      </c>
      <c r="C42" s="1" t="s">
        <v>45</v>
      </c>
      <c r="D42" s="8">
        <v>687.00948124738102</v>
      </c>
      <c r="E42" s="8">
        <v>762.74281341225696</v>
      </c>
      <c r="F42" s="8">
        <v>724.87614732981899</v>
      </c>
      <c r="G42" s="8">
        <v>53.551552735637102</v>
      </c>
      <c r="H42" s="8">
        <f t="shared" si="1"/>
        <v>940.66169152177247</v>
      </c>
    </row>
    <row r="43" spans="1:24" x14ac:dyDescent="0.25">
      <c r="B43" s="1" t="s">
        <v>195</v>
      </c>
      <c r="C43" s="1" t="s">
        <v>46</v>
      </c>
      <c r="D43" s="8">
        <v>248.83795803090399</v>
      </c>
      <c r="E43" s="8">
        <v>297.52366530587398</v>
      </c>
      <c r="F43" s="8">
        <v>273.18081166838903</v>
      </c>
      <c r="G43" s="8">
        <v>34.425993760994601</v>
      </c>
      <c r="H43" s="8">
        <f t="shared" si="1"/>
        <v>354.50293866319731</v>
      </c>
    </row>
    <row r="44" spans="1:24" x14ac:dyDescent="0.35">
      <c r="B44" s="1" t="s">
        <v>196</v>
      </c>
      <c r="C44" s="1" t="s">
        <v>47</v>
      </c>
      <c r="D44" s="8">
        <v>421.942757326302</v>
      </c>
      <c r="E44" s="8">
        <v>611.27611402878404</v>
      </c>
      <c r="F44" s="8">
        <v>516.60943567754305</v>
      </c>
      <c r="G44" s="8">
        <v>133.878900429136</v>
      </c>
      <c r="H44" s="8">
        <f t="shared" si="1"/>
        <v>670.39687732949551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x14ac:dyDescent="0.25">
      <c r="B45" s="1" t="s">
        <v>197</v>
      </c>
      <c r="C45" s="1" t="s">
        <v>48</v>
      </c>
      <c r="D45" s="8">
        <v>849.29523058681696</v>
      </c>
      <c r="E45" s="8">
        <v>827.65711314803195</v>
      </c>
      <c r="F45" s="8">
        <v>838.47617186742502</v>
      </c>
      <c r="G45" s="8">
        <v>15.3004595730762</v>
      </c>
      <c r="H45" s="8">
        <f t="shared" si="1"/>
        <v>1088.0788628993796</v>
      </c>
    </row>
    <row r="46" spans="1:24" x14ac:dyDescent="0.25">
      <c r="B46" s="1" t="s">
        <v>198</v>
      </c>
      <c r="C46" s="1" t="s">
        <v>49</v>
      </c>
      <c r="D46" s="8">
        <v>302.933207810716</v>
      </c>
      <c r="E46" s="8">
        <v>432.76178975540398</v>
      </c>
      <c r="F46" s="8">
        <v>367.84749878306002</v>
      </c>
      <c r="G46" s="8">
        <v>91.802670684922504</v>
      </c>
      <c r="H46" s="8">
        <f t="shared" si="1"/>
        <v>477.35058147786879</v>
      </c>
    </row>
    <row r="47" spans="1:24" x14ac:dyDescent="0.25">
      <c r="B47" s="1" t="s">
        <v>199</v>
      </c>
      <c r="C47" s="1" t="s">
        <v>50</v>
      </c>
      <c r="D47" s="8">
        <v>778.97140587306205</v>
      </c>
      <c r="E47" s="8">
        <v>914.20951279573103</v>
      </c>
      <c r="F47" s="8">
        <v>846.59045933439597</v>
      </c>
      <c r="G47" s="8">
        <v>95.627782479850794</v>
      </c>
      <c r="H47" s="8">
        <f t="shared" si="1"/>
        <v>1098.6086608549217</v>
      </c>
    </row>
    <row r="48" spans="1:24" x14ac:dyDescent="0.25">
      <c r="B48" s="1" t="s">
        <v>200</v>
      </c>
      <c r="C48" s="1" t="s">
        <v>51</v>
      </c>
      <c r="D48" s="8">
        <v>595.04755662170101</v>
      </c>
      <c r="E48" s="8">
        <v>681.59993874253905</v>
      </c>
      <c r="F48" s="8">
        <v>638.32374768212003</v>
      </c>
      <c r="G48" s="8">
        <v>61.201776325494102</v>
      </c>
      <c r="H48" s="8">
        <f t="shared" si="1"/>
        <v>828.34384666264452</v>
      </c>
    </row>
    <row r="49" spans="1:8" x14ac:dyDescent="0.25">
      <c r="B49" s="1" t="s">
        <v>201</v>
      </c>
      <c r="C49" s="1" t="s">
        <v>52</v>
      </c>
      <c r="D49" s="8">
        <v>513.90468195198298</v>
      </c>
      <c r="E49" s="8">
        <v>665.37136380859602</v>
      </c>
      <c r="F49" s="8">
        <v>589.63802288028899</v>
      </c>
      <c r="G49" s="8">
        <v>107.103117864637</v>
      </c>
      <c r="H49" s="8">
        <f t="shared" si="1"/>
        <v>765.16505892938471</v>
      </c>
    </row>
    <row r="50" spans="1:8" x14ac:dyDescent="0.25">
      <c r="B50" s="1" t="s">
        <v>202</v>
      </c>
      <c r="C50" s="1" t="s">
        <v>53</v>
      </c>
      <c r="D50" s="8">
        <v>427.35228230428299</v>
      </c>
      <c r="E50" s="8">
        <v>540.952289315028</v>
      </c>
      <c r="F50" s="8">
        <v>484.15228580965601</v>
      </c>
      <c r="G50" s="8">
        <v>80.327335300137094</v>
      </c>
      <c r="H50" s="8">
        <f t="shared" si="1"/>
        <v>628.27768550732264</v>
      </c>
    </row>
    <row r="51" spans="1:8" x14ac:dyDescent="0.25">
      <c r="B51" s="1" t="s">
        <v>203</v>
      </c>
      <c r="C51" s="1" t="s">
        <v>54</v>
      </c>
      <c r="D51" s="8">
        <v>438.171332260246</v>
      </c>
      <c r="E51" s="8">
        <v>557.18086424897103</v>
      </c>
      <c r="F51" s="8">
        <v>497.67609825460897</v>
      </c>
      <c r="G51" s="8">
        <v>84.152447095065497</v>
      </c>
      <c r="H51" s="8">
        <f t="shared" si="1"/>
        <v>645.82734876656139</v>
      </c>
    </row>
    <row r="52" spans="1:8" x14ac:dyDescent="0.25">
      <c r="B52" s="1" t="s">
        <v>204</v>
      </c>
      <c r="C52" s="1" t="s">
        <v>55</v>
      </c>
      <c r="D52" s="8">
        <v>670.78090631343798</v>
      </c>
      <c r="E52" s="8">
        <v>784.38091332418196</v>
      </c>
      <c r="F52" s="8">
        <v>727.58090981881003</v>
      </c>
      <c r="G52" s="8">
        <v>80.327335300136696</v>
      </c>
      <c r="H52" s="8">
        <f t="shared" si="1"/>
        <v>944.17162417362078</v>
      </c>
    </row>
    <row r="53" spans="1:8" x14ac:dyDescent="0.25">
      <c r="B53" s="1" t="s">
        <v>205</v>
      </c>
      <c r="C53" s="1" t="s">
        <v>56</v>
      </c>
      <c r="D53" s="8">
        <v>443.580857238227</v>
      </c>
      <c r="E53" s="8">
        <v>551.77133927098998</v>
      </c>
      <c r="F53" s="8">
        <v>497.67609825460897</v>
      </c>
      <c r="G53" s="8">
        <v>76.502223505208704</v>
      </c>
      <c r="H53" s="8">
        <f t="shared" si="1"/>
        <v>645.82734876656139</v>
      </c>
    </row>
    <row r="54" spans="1:8" x14ac:dyDescent="0.25">
      <c r="B54" s="1" t="s">
        <v>206</v>
      </c>
      <c r="C54" s="1" t="s">
        <v>57</v>
      </c>
      <c r="D54" s="8">
        <v>497.67610701803898</v>
      </c>
      <c r="E54" s="8">
        <v>600.45706407282103</v>
      </c>
      <c r="F54" s="8">
        <v>549.06658554543003</v>
      </c>
      <c r="G54" s="8">
        <v>72.677111710279704</v>
      </c>
      <c r="H54" s="8">
        <f t="shared" si="1"/>
        <v>712.51606915166838</v>
      </c>
    </row>
    <row r="55" spans="1:8" x14ac:dyDescent="0.25">
      <c r="B55" s="1" t="s">
        <v>207</v>
      </c>
      <c r="C55" s="1" t="s">
        <v>58</v>
      </c>
      <c r="D55" s="8">
        <v>362.43798256850903</v>
      </c>
      <c r="E55" s="8">
        <v>378.666539975592</v>
      </c>
      <c r="F55" s="8">
        <v>370.55226127204998</v>
      </c>
      <c r="G55" s="8">
        <v>11.475322991423299</v>
      </c>
      <c r="H55" s="8">
        <f t="shared" si="1"/>
        <v>480.8605141297158</v>
      </c>
    </row>
    <row r="56" spans="1:8" x14ac:dyDescent="0.25">
      <c r="B56" s="1" t="s">
        <v>208</v>
      </c>
      <c r="C56" s="1" t="s">
        <v>59</v>
      </c>
      <c r="D56" s="8">
        <v>503.08563199602003</v>
      </c>
      <c r="E56" s="8">
        <v>654.55231385263301</v>
      </c>
      <c r="F56" s="8">
        <v>578.818972924327</v>
      </c>
      <c r="G56" s="8">
        <v>107.103117864636</v>
      </c>
      <c r="H56" s="8">
        <f t="shared" si="1"/>
        <v>751.12532832199417</v>
      </c>
    </row>
    <row r="57" spans="1:8" x14ac:dyDescent="0.25">
      <c r="B57" s="1" t="s">
        <v>209</v>
      </c>
      <c r="C57" s="1" t="s">
        <v>60</v>
      </c>
      <c r="D57" s="8">
        <v>773.56188089507998</v>
      </c>
      <c r="E57" s="8">
        <v>946.66666266361801</v>
      </c>
      <c r="F57" s="8">
        <v>860.114271779349</v>
      </c>
      <c r="G57" s="8">
        <v>122.403565044351</v>
      </c>
      <c r="H57" s="8">
        <f t="shared" si="1"/>
        <v>1116.1583241141605</v>
      </c>
    </row>
    <row r="58" spans="1:8" x14ac:dyDescent="0.25">
      <c r="B58" s="1" t="s">
        <v>210</v>
      </c>
      <c r="C58" s="1" t="s">
        <v>61</v>
      </c>
      <c r="D58" s="8">
        <v>319.16178274465898</v>
      </c>
      <c r="E58" s="8">
        <v>443.58083971136602</v>
      </c>
      <c r="F58" s="8">
        <v>381.37131122801298</v>
      </c>
      <c r="G58" s="8">
        <v>87.977558889994199</v>
      </c>
      <c r="H58" s="8">
        <f t="shared" si="1"/>
        <v>494.90024473710753</v>
      </c>
    </row>
    <row r="59" spans="1:8" x14ac:dyDescent="0.25">
      <c r="B59" s="1" t="s">
        <v>211</v>
      </c>
      <c r="C59" s="1" t="s">
        <v>62</v>
      </c>
      <c r="D59" s="8">
        <v>632.91423146756904</v>
      </c>
      <c r="E59" s="8">
        <v>632.91421394070801</v>
      </c>
      <c r="F59" s="8">
        <v>632.91422270413898</v>
      </c>
      <c r="G59" s="8">
        <v>1.23933622062603E-5</v>
      </c>
      <c r="H59" s="8">
        <f t="shared" si="1"/>
        <v>821.32398135894925</v>
      </c>
    </row>
    <row r="60" spans="1:8" x14ac:dyDescent="0.25">
      <c r="B60" s="1" t="s">
        <v>212</v>
      </c>
      <c r="C60" s="1" t="s">
        <v>63</v>
      </c>
      <c r="D60" s="8">
        <v>930.43810525653601</v>
      </c>
      <c r="E60" s="8">
        <v>1044.03811226728</v>
      </c>
      <c r="F60" s="8">
        <v>987.23810876190805</v>
      </c>
      <c r="G60" s="8">
        <v>80.327335300136895</v>
      </c>
      <c r="H60" s="8">
        <f t="shared" si="1"/>
        <v>1281.1251587510062</v>
      </c>
    </row>
    <row r="61" spans="1:8" x14ac:dyDescent="0.35">
      <c r="B61" s="1" t="s">
        <v>184</v>
      </c>
      <c r="C61" s="1" t="s">
        <v>35</v>
      </c>
      <c r="D61" s="8">
        <v>1000.76192997029</v>
      </c>
      <c r="E61" s="8">
        <v>1119.7714619590199</v>
      </c>
      <c r="F61" s="8">
        <v>1060.2666959646499</v>
      </c>
      <c r="G61" s="8">
        <v>84.152447095065597</v>
      </c>
      <c r="H61" s="11">
        <v>1375.89334035089</v>
      </c>
    </row>
    <row r="63" spans="1:8" x14ac:dyDescent="0.25">
      <c r="A63" s="7">
        <v>45365</v>
      </c>
      <c r="B63" s="1" t="s">
        <v>213</v>
      </c>
      <c r="C63" s="1" t="s">
        <v>64</v>
      </c>
      <c r="D63" s="8">
        <v>463.95915628748998</v>
      </c>
      <c r="E63" s="8">
        <v>316.10400335682101</v>
      </c>
      <c r="F63" s="8">
        <v>390.03157982215498</v>
      </c>
      <c r="G63" s="8">
        <v>104.54938127064899</v>
      </c>
      <c r="H63" s="8">
        <f t="shared" ref="H63:H91" si="2">F63/$F$92*$H$92</f>
        <v>501.21818414268779</v>
      </c>
    </row>
    <row r="64" spans="1:8" x14ac:dyDescent="0.25">
      <c r="B64" s="1" t="s">
        <v>214</v>
      </c>
      <c r="C64" s="1" t="s">
        <v>65</v>
      </c>
      <c r="D64" s="8">
        <v>504.746785807332</v>
      </c>
      <c r="E64" s="8">
        <v>535.33751202597796</v>
      </c>
      <c r="F64" s="8">
        <v>520.04214891665504</v>
      </c>
      <c r="G64" s="8">
        <v>21.630909950625199</v>
      </c>
      <c r="H64" s="8">
        <f t="shared" si="2"/>
        <v>668.29096678920018</v>
      </c>
    </row>
    <row r="65" spans="2:8" x14ac:dyDescent="0.25">
      <c r="B65" s="1" t="s">
        <v>215</v>
      </c>
      <c r="C65" s="1" t="s">
        <v>66</v>
      </c>
      <c r="D65" s="8">
        <v>173.34729595860901</v>
      </c>
      <c r="E65" s="8">
        <v>203.938022177254</v>
      </c>
      <c r="F65" s="8">
        <v>188.64265906793099</v>
      </c>
      <c r="G65" s="8">
        <v>21.630909950625</v>
      </c>
      <c r="H65" s="8">
        <f t="shared" si="2"/>
        <v>242.41916788632741</v>
      </c>
    </row>
    <row r="66" spans="2:8" x14ac:dyDescent="0.25">
      <c r="B66" s="1" t="s">
        <v>216</v>
      </c>
      <c r="C66" s="1" t="s">
        <v>67</v>
      </c>
      <c r="D66" s="8">
        <v>479.25451735743098</v>
      </c>
      <c r="E66" s="8">
        <v>469.05761405623298</v>
      </c>
      <c r="F66" s="8">
        <v>474.15606570683201</v>
      </c>
      <c r="G66" s="8">
        <v>7.2102994713804804</v>
      </c>
      <c r="H66" s="8">
        <f t="shared" si="2"/>
        <v>609.3241023257259</v>
      </c>
    </row>
    <row r="67" spans="2:8" x14ac:dyDescent="0.25">
      <c r="B67" s="1" t="s">
        <v>217</v>
      </c>
      <c r="C67" s="1" t="s">
        <v>68</v>
      </c>
      <c r="D67" s="8">
        <v>504.746785807332</v>
      </c>
      <c r="E67" s="8">
        <v>667.89730796546701</v>
      </c>
      <c r="F67" s="8">
        <v>586.32204688640002</v>
      </c>
      <c r="G67" s="8">
        <v>115.364840572142</v>
      </c>
      <c r="H67" s="8">
        <f t="shared" si="2"/>
        <v>753.4653265697749</v>
      </c>
    </row>
    <row r="68" spans="2:8" x14ac:dyDescent="0.25">
      <c r="B68" s="1" t="s">
        <v>218</v>
      </c>
      <c r="C68" s="1" t="s">
        <v>69</v>
      </c>
      <c r="D68" s="8">
        <v>790.26019244623296</v>
      </c>
      <c r="E68" s="8">
        <v>571.02668785584001</v>
      </c>
      <c r="F68" s="8">
        <v>680.643440151037</v>
      </c>
      <c r="G68" s="8">
        <v>155.02149775915899</v>
      </c>
      <c r="H68" s="8">
        <f t="shared" si="2"/>
        <v>874.67499241136193</v>
      </c>
    </row>
    <row r="69" spans="2:8" x14ac:dyDescent="0.25">
      <c r="B69" s="1" t="s">
        <v>219</v>
      </c>
      <c r="C69" s="1" t="s">
        <v>70</v>
      </c>
      <c r="D69" s="8">
        <v>739.27565554642899</v>
      </c>
      <c r="E69" s="8">
        <v>581.22359523580099</v>
      </c>
      <c r="F69" s="8">
        <v>660.24962539111505</v>
      </c>
      <c r="G69" s="8">
        <v>111.75968362614999</v>
      </c>
      <c r="H69" s="8">
        <f t="shared" si="2"/>
        <v>848.46749709426149</v>
      </c>
    </row>
    <row r="70" spans="2:8" x14ac:dyDescent="0.25">
      <c r="B70" s="1" t="s">
        <v>220</v>
      </c>
      <c r="C70" s="1" t="s">
        <v>71</v>
      </c>
      <c r="D70" s="8">
        <v>300.808638208118</v>
      </c>
      <c r="E70" s="8">
        <v>316.10400335682101</v>
      </c>
      <c r="F70" s="8">
        <v>308.45632078247002</v>
      </c>
      <c r="G70" s="8">
        <v>10.8154564173729</v>
      </c>
      <c r="H70" s="8">
        <f t="shared" si="2"/>
        <v>396.38820287428956</v>
      </c>
    </row>
    <row r="71" spans="2:8" x14ac:dyDescent="0.25">
      <c r="B71" s="1" t="s">
        <v>221</v>
      </c>
      <c r="C71" s="1" t="s">
        <v>72</v>
      </c>
      <c r="D71" s="8">
        <v>499.64833211735203</v>
      </c>
      <c r="E71" s="8">
        <v>601.61740999572203</v>
      </c>
      <c r="F71" s="8">
        <v>550.63287105653706</v>
      </c>
      <c r="G71" s="8">
        <v>72.103026439134794</v>
      </c>
      <c r="H71" s="8">
        <f t="shared" si="2"/>
        <v>707.6022097648497</v>
      </c>
    </row>
    <row r="72" spans="2:8" x14ac:dyDescent="0.25">
      <c r="B72" s="1" t="s">
        <v>222</v>
      </c>
      <c r="C72" s="1" t="s">
        <v>73</v>
      </c>
      <c r="D72" s="8">
        <v>769.86637768631101</v>
      </c>
      <c r="E72" s="8">
        <v>382.38390132656599</v>
      </c>
      <c r="F72" s="8">
        <v>576.12513950643904</v>
      </c>
      <c r="G72" s="8">
        <v>273.99148662493201</v>
      </c>
      <c r="H72" s="8">
        <f t="shared" si="2"/>
        <v>740.36157891122468</v>
      </c>
    </row>
    <row r="73" spans="2:8" x14ac:dyDescent="0.25">
      <c r="B73" s="1" t="s">
        <v>223</v>
      </c>
      <c r="C73" s="1" t="s">
        <v>74</v>
      </c>
      <c r="D73" s="8">
        <v>565.92823008709695</v>
      </c>
      <c r="E73" s="8">
        <v>836.14627973481902</v>
      </c>
      <c r="F73" s="8">
        <v>701.03725491095804</v>
      </c>
      <c r="G73" s="8">
        <v>191.07301530490801</v>
      </c>
      <c r="H73" s="8">
        <f t="shared" si="2"/>
        <v>900.88248772846134</v>
      </c>
    </row>
    <row r="74" spans="2:8" x14ac:dyDescent="0.25">
      <c r="B74" s="1" t="s">
        <v>224</v>
      </c>
      <c r="C74" s="1" t="s">
        <v>75</v>
      </c>
      <c r="D74" s="8">
        <v>703.58647971656603</v>
      </c>
      <c r="E74" s="8">
        <v>637.30658582558499</v>
      </c>
      <c r="F74" s="8">
        <v>670.44653277107602</v>
      </c>
      <c r="G74" s="8">
        <v>46.866962426637897</v>
      </c>
      <c r="H74" s="8">
        <f t="shared" si="2"/>
        <v>861.57124475281171</v>
      </c>
    </row>
    <row r="75" spans="2:8" x14ac:dyDescent="0.25">
      <c r="B75" s="1" t="s">
        <v>225</v>
      </c>
      <c r="C75" s="1" t="s">
        <v>76</v>
      </c>
      <c r="D75" s="8">
        <v>718.88184078650795</v>
      </c>
      <c r="E75" s="8">
        <v>708.68493748531</v>
      </c>
      <c r="F75" s="8">
        <v>713.78338913590903</v>
      </c>
      <c r="G75" s="8">
        <v>7.2102994713804804</v>
      </c>
      <c r="H75" s="8">
        <f t="shared" si="2"/>
        <v>917.26217230164889</v>
      </c>
    </row>
    <row r="76" spans="2:8" x14ac:dyDescent="0.25">
      <c r="B76" s="1" t="s">
        <v>226</v>
      </c>
      <c r="C76" s="1" t="s">
        <v>77</v>
      </c>
      <c r="D76" s="8">
        <v>224.33183285841201</v>
      </c>
      <c r="E76" s="8">
        <v>359.68596056644998</v>
      </c>
      <c r="F76" s="8">
        <f>AVERAGE(D76:E76)</f>
        <v>292.00889671243101</v>
      </c>
      <c r="G76" s="8">
        <f>STDEV(D76:E76)</f>
        <v>95.70982156394345</v>
      </c>
      <c r="H76" s="8">
        <f t="shared" si="2"/>
        <v>375.25209889530242</v>
      </c>
    </row>
    <row r="77" spans="2:8" x14ac:dyDescent="0.25">
      <c r="B77" s="1" t="s">
        <v>227</v>
      </c>
      <c r="C77" s="1" t="s">
        <v>78</v>
      </c>
      <c r="D77" s="8">
        <v>525.14060056725395</v>
      </c>
      <c r="E77" s="8">
        <v>453.76225298629203</v>
      </c>
      <c r="F77" s="8">
        <v>489.45142677677302</v>
      </c>
      <c r="G77" s="8">
        <v>50.472113604388703</v>
      </c>
      <c r="H77" s="8">
        <f t="shared" si="2"/>
        <v>628.97972381355066</v>
      </c>
    </row>
    <row r="78" spans="2:8" x14ac:dyDescent="0.25">
      <c r="B78" s="1" t="s">
        <v>228</v>
      </c>
      <c r="C78" s="1" t="s">
        <v>79</v>
      </c>
      <c r="D78" s="8">
        <v>576.12513746705804</v>
      </c>
      <c r="E78" s="8">
        <v>555.731326785899</v>
      </c>
      <c r="F78" s="8">
        <v>565.92823212647795</v>
      </c>
      <c r="G78" s="8">
        <v>14.4206018268817</v>
      </c>
      <c r="H78" s="8">
        <f t="shared" si="2"/>
        <v>727.25783125267446</v>
      </c>
    </row>
    <row r="79" spans="2:8" x14ac:dyDescent="0.25">
      <c r="B79" s="1" t="s">
        <v>229</v>
      </c>
      <c r="C79" s="1" t="s">
        <v>80</v>
      </c>
      <c r="D79" s="8">
        <v>168.24884226862801</v>
      </c>
      <c r="E79" s="8">
        <v>168.24884634739101</v>
      </c>
      <c r="F79" s="8">
        <v>168.24884430801001</v>
      </c>
      <c r="G79" s="8">
        <v>2.8841208946755802E-6</v>
      </c>
      <c r="H79" s="8">
        <f t="shared" si="2"/>
        <v>216.2116725692282</v>
      </c>
    </row>
    <row r="80" spans="2:8" x14ac:dyDescent="0.25">
      <c r="B80" s="1" t="s">
        <v>230</v>
      </c>
      <c r="C80" s="1" t="s">
        <v>81</v>
      </c>
      <c r="D80" s="8">
        <v>535.33750794721402</v>
      </c>
      <c r="E80" s="8">
        <v>479.25452143619299</v>
      </c>
      <c r="F80" s="8">
        <v>507.29601469170399</v>
      </c>
      <c r="G80" s="8">
        <v>39.656660071136599</v>
      </c>
      <c r="H80" s="8">
        <f t="shared" si="2"/>
        <v>651.91128221601264</v>
      </c>
    </row>
    <row r="81" spans="1:8" x14ac:dyDescent="0.25">
      <c r="B81" s="1" t="s">
        <v>231</v>
      </c>
      <c r="C81" s="1" t="s">
        <v>82</v>
      </c>
      <c r="D81" s="8">
        <v>846.34318303601697</v>
      </c>
      <c r="E81" s="8">
        <v>627.10967844562401</v>
      </c>
      <c r="F81" s="8">
        <v>736.72643074081998</v>
      </c>
      <c r="G81" s="8">
        <v>155.02149775915899</v>
      </c>
      <c r="H81" s="8">
        <f t="shared" si="2"/>
        <v>946.74560453338518</v>
      </c>
    </row>
    <row r="82" spans="1:8" x14ac:dyDescent="0.25">
      <c r="B82" s="1" t="s">
        <v>232</v>
      </c>
      <c r="C82" s="1" t="s">
        <v>83</v>
      </c>
      <c r="D82" s="8">
        <v>882.03235886587902</v>
      </c>
      <c r="E82" s="8">
        <v>734.17720593521199</v>
      </c>
      <c r="F82" s="8">
        <v>808.10478240054601</v>
      </c>
      <c r="G82" s="8">
        <v>104.54938127064899</v>
      </c>
      <c r="H82" s="8">
        <f t="shared" si="2"/>
        <v>1038.471838143236</v>
      </c>
    </row>
    <row r="83" spans="1:8" x14ac:dyDescent="0.25">
      <c r="B83" s="1" t="s">
        <v>233</v>
      </c>
      <c r="C83" s="1" t="s">
        <v>84</v>
      </c>
      <c r="D83" s="8">
        <v>754.57101661637</v>
      </c>
      <c r="E83" s="8">
        <v>759.66947438511397</v>
      </c>
      <c r="F83" s="8">
        <v>757.12024550074204</v>
      </c>
      <c r="G83" s="8">
        <v>3.6051540618716098</v>
      </c>
      <c r="H83" s="8">
        <f t="shared" si="2"/>
        <v>972.95309985048584</v>
      </c>
    </row>
    <row r="84" spans="1:8" x14ac:dyDescent="0.25">
      <c r="B84" s="1" t="s">
        <v>234</v>
      </c>
      <c r="C84" s="1" t="s">
        <v>85</v>
      </c>
      <c r="D84" s="8">
        <v>377.28544355782299</v>
      </c>
      <c r="E84" s="8">
        <v>203.938022177254</v>
      </c>
      <c r="F84" s="8">
        <v>290.61173286753802</v>
      </c>
      <c r="G84" s="8">
        <v>122.575137159403</v>
      </c>
      <c r="H84" s="8">
        <f t="shared" si="2"/>
        <v>373.45664447182628</v>
      </c>
    </row>
    <row r="85" spans="1:8" x14ac:dyDescent="0.25">
      <c r="B85" s="1" t="s">
        <v>235</v>
      </c>
      <c r="C85" s="1" t="s">
        <v>86</v>
      </c>
      <c r="D85" s="8">
        <v>571.02668377707698</v>
      </c>
      <c r="E85" s="8">
        <v>790.26019652499599</v>
      </c>
      <c r="F85" s="8">
        <v>680.64344015103597</v>
      </c>
      <c r="G85" s="8">
        <v>155.0215035274</v>
      </c>
      <c r="H85" s="8">
        <f t="shared" si="2"/>
        <v>874.67499241136079</v>
      </c>
    </row>
    <row r="86" spans="1:8" x14ac:dyDescent="0.25">
      <c r="B86" s="1" t="s">
        <v>236</v>
      </c>
      <c r="C86" s="1" t="s">
        <v>87</v>
      </c>
      <c r="D86" s="8">
        <v>504.746785807332</v>
      </c>
      <c r="E86" s="8">
        <v>290.61173490691999</v>
      </c>
      <c r="F86" s="8">
        <v>397.679260357126</v>
      </c>
      <c r="G86" s="8">
        <v>151.41634658140799</v>
      </c>
      <c r="H86" s="8">
        <f t="shared" si="2"/>
        <v>511.04599488660085</v>
      </c>
    </row>
    <row r="87" spans="1:8" x14ac:dyDescent="0.25">
      <c r="B87" s="1" t="s">
        <v>237</v>
      </c>
      <c r="C87" s="1" t="s">
        <v>88</v>
      </c>
      <c r="D87" s="8">
        <v>448.663795217548</v>
      </c>
      <c r="E87" s="8">
        <v>606.71586368570195</v>
      </c>
      <c r="F87" s="8">
        <v>527.68982945162497</v>
      </c>
      <c r="G87" s="8">
        <v>111.75968939439301</v>
      </c>
      <c r="H87" s="8">
        <f t="shared" si="2"/>
        <v>678.11877753311182</v>
      </c>
    </row>
    <row r="88" spans="1:8" x14ac:dyDescent="0.25">
      <c r="B88" s="1" t="s">
        <v>238</v>
      </c>
      <c r="C88" s="1" t="s">
        <v>89</v>
      </c>
      <c r="D88" s="8">
        <v>137.65812012874599</v>
      </c>
      <c r="E88" s="8">
        <v>361.990086566645</v>
      </c>
      <c r="F88" s="8">
        <v>249.824103347696</v>
      </c>
      <c r="G88" s="8">
        <v>158.626654705151</v>
      </c>
      <c r="H88" s="8">
        <f t="shared" si="2"/>
        <v>321.04165383762773</v>
      </c>
    </row>
    <row r="89" spans="1:8" x14ac:dyDescent="0.25">
      <c r="B89" s="1" t="s">
        <v>239</v>
      </c>
      <c r="C89" s="1" t="s">
        <v>90</v>
      </c>
      <c r="D89" s="8">
        <v>249.824101308314</v>
      </c>
      <c r="E89" s="8">
        <v>198.839568487273</v>
      </c>
      <c r="F89" s="8">
        <v>224.33183489779401</v>
      </c>
      <c r="G89" s="8">
        <v>36.051508893386199</v>
      </c>
      <c r="H89" s="8">
        <f t="shared" si="2"/>
        <v>288.28228469125276</v>
      </c>
    </row>
    <row r="90" spans="1:8" x14ac:dyDescent="0.25">
      <c r="B90" s="1" t="s">
        <v>240</v>
      </c>
      <c r="C90" s="1" t="s">
        <v>91</v>
      </c>
      <c r="D90" s="8">
        <v>662.79885019672395</v>
      </c>
      <c r="E90" s="8">
        <v>499.648336196115</v>
      </c>
      <c r="F90" s="8">
        <v>581.22359319641896</v>
      </c>
      <c r="G90" s="8">
        <v>115.364834803902</v>
      </c>
      <c r="H90" s="8">
        <f t="shared" si="2"/>
        <v>746.91345274049922</v>
      </c>
    </row>
    <row r="91" spans="1:8" x14ac:dyDescent="0.25">
      <c r="B91" s="1" t="s">
        <v>241</v>
      </c>
      <c r="C91" s="1" t="s">
        <v>92</v>
      </c>
      <c r="D91" s="8">
        <v>540.43596163719496</v>
      </c>
      <c r="E91" s="8">
        <v>591.42050261576196</v>
      </c>
      <c r="F91" s="8">
        <v>565.92823212647795</v>
      </c>
      <c r="G91" s="8">
        <v>36.051514661627799</v>
      </c>
      <c r="H91" s="8">
        <f t="shared" si="2"/>
        <v>727.25783125267446</v>
      </c>
    </row>
    <row r="92" spans="1:8" x14ac:dyDescent="0.35">
      <c r="B92" s="1" t="s">
        <v>184</v>
      </c>
      <c r="C92" s="1" t="s">
        <v>35</v>
      </c>
      <c r="D92" s="8">
        <v>1091.06896015507</v>
      </c>
      <c r="E92" s="8">
        <v>1050.28133471399</v>
      </c>
      <c r="F92" s="8">
        <v>1070.6751474345299</v>
      </c>
      <c r="G92" s="8">
        <v>28.8412065378844</v>
      </c>
      <c r="H92" s="11">
        <v>1375.89334035089</v>
      </c>
    </row>
    <row r="94" spans="1:8" x14ac:dyDescent="0.25">
      <c r="A94" s="7">
        <v>45367</v>
      </c>
      <c r="B94" s="1" t="s">
        <v>242</v>
      </c>
      <c r="C94" s="1" t="s">
        <v>93</v>
      </c>
      <c r="D94" s="8">
        <v>146.057435685549</v>
      </c>
      <c r="E94" s="8">
        <v>275.88603515709798</v>
      </c>
      <c r="F94" s="8">
        <v>210.97173542132299</v>
      </c>
      <c r="G94" s="8">
        <v>91.802683078284602</v>
      </c>
      <c r="H94" s="8">
        <f>F94/$F$123*$H$123</f>
        <v>268.20223034171903</v>
      </c>
    </row>
    <row r="95" spans="1:8" x14ac:dyDescent="0.25">
      <c r="B95" s="1" t="s">
        <v>243</v>
      </c>
      <c r="C95" s="1" t="s">
        <v>94</v>
      </c>
      <c r="D95" s="8">
        <v>833.067107889162</v>
      </c>
      <c r="E95" s="8">
        <v>854.705207801087</v>
      </c>
      <c r="F95" s="8">
        <v>843.88615784512501</v>
      </c>
      <c r="G95" s="8">
        <v>15.300447179714</v>
      </c>
      <c r="H95" s="8">
        <f t="shared" ref="H95:H122" si="3">F95/$F$123*$H$123</f>
        <v>1072.8079248936726</v>
      </c>
    </row>
    <row r="96" spans="1:8" x14ac:dyDescent="0.25">
      <c r="B96" s="1" t="s">
        <v>244</v>
      </c>
      <c r="C96" s="1" t="s">
        <v>95</v>
      </c>
      <c r="D96" s="8">
        <v>941.25760744878596</v>
      </c>
      <c r="E96" s="8">
        <v>1022.4004821185</v>
      </c>
      <c r="F96" s="8">
        <v>981.82904478364503</v>
      </c>
      <c r="G96" s="8">
        <v>57.376676923927803</v>
      </c>
      <c r="H96" s="8">
        <f t="shared" si="3"/>
        <v>1248.1707044755076</v>
      </c>
    </row>
    <row r="97" spans="2:8" x14ac:dyDescent="0.25">
      <c r="B97" s="1" t="s">
        <v>245</v>
      </c>
      <c r="C97" s="1" t="s">
        <v>96</v>
      </c>
      <c r="D97" s="8">
        <v>784.38138308733096</v>
      </c>
      <c r="E97" s="8">
        <v>789.79090806531201</v>
      </c>
      <c r="F97" s="8">
        <v>787.086145576322</v>
      </c>
      <c r="G97" s="8">
        <v>3.8251117949286502</v>
      </c>
      <c r="H97" s="8">
        <f t="shared" si="3"/>
        <v>1000.5997215364458</v>
      </c>
    </row>
    <row r="98" spans="2:8" x14ac:dyDescent="0.25">
      <c r="B98" s="1" t="s">
        <v>246</v>
      </c>
      <c r="C98" s="1" t="s">
        <v>97</v>
      </c>
      <c r="D98" s="8">
        <v>746.51470824146202</v>
      </c>
      <c r="E98" s="8">
        <v>849.29568282310595</v>
      </c>
      <c r="F98" s="8">
        <v>797.90519553228398</v>
      </c>
      <c r="G98" s="8">
        <v>72.677124103642001</v>
      </c>
      <c r="H98" s="8">
        <f t="shared" si="3"/>
        <v>1014.3536650330599</v>
      </c>
    </row>
    <row r="99" spans="2:8" x14ac:dyDescent="0.25">
      <c r="B99" s="1" t="s">
        <v>247</v>
      </c>
      <c r="C99" s="1" t="s">
        <v>98</v>
      </c>
      <c r="D99" s="8">
        <v>984.53380727263595</v>
      </c>
      <c r="E99" s="8">
        <v>925.02903251484202</v>
      </c>
      <c r="F99" s="8">
        <v>954.78141989373898</v>
      </c>
      <c r="G99" s="8">
        <v>42.076229744213798</v>
      </c>
      <c r="H99" s="8">
        <f t="shared" si="3"/>
        <v>1213.7858457339712</v>
      </c>
    </row>
    <row r="100" spans="2:8" x14ac:dyDescent="0.25">
      <c r="B100" s="1" t="s">
        <v>248</v>
      </c>
      <c r="C100" s="1" t="s">
        <v>99</v>
      </c>
      <c r="D100" s="8">
        <v>838.47663286714305</v>
      </c>
      <c r="E100" s="8">
        <v>1130.59098167813</v>
      </c>
      <c r="F100" s="8">
        <v>984.53380727263595</v>
      </c>
      <c r="G100" s="8">
        <v>206.55603692614</v>
      </c>
      <c r="H100" s="8">
        <f t="shared" si="3"/>
        <v>1251.6091903496617</v>
      </c>
    </row>
    <row r="101" spans="2:8" x14ac:dyDescent="0.25">
      <c r="B101" s="1" t="s">
        <v>249</v>
      </c>
      <c r="C101" s="1" t="s">
        <v>100</v>
      </c>
      <c r="D101" s="8">
        <v>665.37183357174501</v>
      </c>
      <c r="E101" s="8">
        <v>811.42900797723701</v>
      </c>
      <c r="F101" s="8">
        <v>738.40042077449095</v>
      </c>
      <c r="G101" s="8">
        <v>103.27801846307</v>
      </c>
      <c r="H101" s="8">
        <f t="shared" si="3"/>
        <v>938.70697580167996</v>
      </c>
    </row>
    <row r="102" spans="2:8" x14ac:dyDescent="0.25">
      <c r="B102" s="1" t="s">
        <v>250</v>
      </c>
      <c r="C102" s="1" t="s">
        <v>101</v>
      </c>
      <c r="D102" s="8">
        <v>946.66713242676701</v>
      </c>
      <c r="E102" s="8">
        <v>903.39093260291804</v>
      </c>
      <c r="F102" s="8">
        <v>925.02903251484202</v>
      </c>
      <c r="G102" s="8">
        <v>30.6008943594281</v>
      </c>
      <c r="H102" s="8">
        <f t="shared" si="3"/>
        <v>1175.9625011182807</v>
      </c>
    </row>
    <row r="103" spans="2:8" x14ac:dyDescent="0.25">
      <c r="B103" s="1" t="s">
        <v>251</v>
      </c>
      <c r="C103" s="1" t="s">
        <v>102</v>
      </c>
      <c r="D103" s="8">
        <v>881.75283269099305</v>
      </c>
      <c r="E103" s="8">
        <v>1108.9528817662001</v>
      </c>
      <c r="F103" s="8">
        <v>995.35285722859805</v>
      </c>
      <c r="G103" s="8">
        <v>160.65469538699699</v>
      </c>
      <c r="H103" s="8">
        <f t="shared" si="3"/>
        <v>1265.363133846276</v>
      </c>
    </row>
    <row r="104" spans="2:8" x14ac:dyDescent="0.25">
      <c r="B104" s="1" t="s">
        <v>252</v>
      </c>
      <c r="C104" s="1" t="s">
        <v>103</v>
      </c>
      <c r="D104" s="8">
        <v>595.04800885798898</v>
      </c>
      <c r="E104" s="8">
        <v>331.79905938580998</v>
      </c>
      <c r="F104" s="8">
        <v>463.42353412189902</v>
      </c>
      <c r="G104" s="8">
        <v>186.14511731201301</v>
      </c>
      <c r="H104" s="8">
        <f t="shared" si="3"/>
        <v>589.13685852807794</v>
      </c>
    </row>
    <row r="105" spans="2:8" x14ac:dyDescent="0.25">
      <c r="B105" s="1" t="s">
        <v>253</v>
      </c>
      <c r="C105" s="1" t="s">
        <v>104</v>
      </c>
      <c r="D105" s="8">
        <v>670.78135854972595</v>
      </c>
      <c r="E105" s="8">
        <v>700.46496438871702</v>
      </c>
      <c r="F105" s="8">
        <v>685.62316146922103</v>
      </c>
      <c r="G105" s="8">
        <v>20.989478978819001</v>
      </c>
      <c r="H105" s="8">
        <f t="shared" si="3"/>
        <v>871.61278127022626</v>
      </c>
    </row>
    <row r="106" spans="2:8" x14ac:dyDescent="0.25">
      <c r="B106" s="1" t="s">
        <v>254</v>
      </c>
      <c r="C106" s="1" t="s">
        <v>105</v>
      </c>
      <c r="D106" s="8">
        <v>416.53368458460898</v>
      </c>
      <c r="E106" s="8">
        <v>363.39899410034502</v>
      </c>
      <c r="F106" s="8">
        <v>389.966339342477</v>
      </c>
      <c r="G106" s="8">
        <v>37.571899957671498</v>
      </c>
      <c r="H106" s="8">
        <f t="shared" si="3"/>
        <v>495.75286358135082</v>
      </c>
    </row>
    <row r="107" spans="2:8" x14ac:dyDescent="0.25">
      <c r="B107" s="1" t="s">
        <v>255</v>
      </c>
      <c r="C107" s="1" t="s">
        <v>106</v>
      </c>
      <c r="D107" s="8">
        <v>524.72418414423305</v>
      </c>
      <c r="E107" s="8">
        <v>531.93197924453102</v>
      </c>
      <c r="F107" s="8">
        <v>528.32808169438204</v>
      </c>
      <c r="G107" s="8">
        <v>5.09668079282363</v>
      </c>
      <c r="H107" s="8">
        <f t="shared" si="3"/>
        <v>671.6481218662509</v>
      </c>
    </row>
    <row r="108" spans="2:8" x14ac:dyDescent="0.25">
      <c r="B108" s="1" t="s">
        <v>256</v>
      </c>
      <c r="C108" s="1" t="s">
        <v>107</v>
      </c>
      <c r="D108" s="8">
        <v>519.314659166252</v>
      </c>
      <c r="E108" s="8">
        <v>574.06522553057698</v>
      </c>
      <c r="F108" s="8">
        <v>546.689942348415</v>
      </c>
      <c r="G108" s="8">
        <v>38.714496750018498</v>
      </c>
      <c r="H108" s="8">
        <f t="shared" si="3"/>
        <v>694.99102119255451</v>
      </c>
    </row>
    <row r="109" spans="2:8" x14ac:dyDescent="0.25">
      <c r="B109" s="1" t="s">
        <v>257</v>
      </c>
      <c r="C109" s="1" t="s">
        <v>108</v>
      </c>
      <c r="D109" s="8">
        <v>405.71463462864699</v>
      </c>
      <c r="E109" s="8">
        <v>447.66548667243802</v>
      </c>
      <c r="F109" s="8">
        <v>426.69006065054202</v>
      </c>
      <c r="G109" s="8">
        <v>29.663731956718198</v>
      </c>
      <c r="H109" s="8">
        <f t="shared" si="3"/>
        <v>542.43866223395685</v>
      </c>
    </row>
    <row r="110" spans="2:8" x14ac:dyDescent="0.25">
      <c r="B110" s="1" t="s">
        <v>258</v>
      </c>
      <c r="C110" s="1" t="s">
        <v>109</v>
      </c>
      <c r="D110" s="8">
        <v>719.46708335155699</v>
      </c>
      <c r="E110" s="8">
        <v>684.66499703144996</v>
      </c>
      <c r="F110" s="8">
        <v>702.06604019150302</v>
      </c>
      <c r="G110" s="8">
        <v>24.608791236387599</v>
      </c>
      <c r="H110" s="8">
        <f t="shared" si="3"/>
        <v>892.51613468743813</v>
      </c>
    </row>
    <row r="111" spans="2:8" x14ac:dyDescent="0.25">
      <c r="B111" s="1" t="s">
        <v>259</v>
      </c>
      <c r="C111" s="1" t="s">
        <v>110</v>
      </c>
      <c r="D111" s="8">
        <v>421.94320956259099</v>
      </c>
      <c r="E111" s="8">
        <v>526.66532345877499</v>
      </c>
      <c r="F111" s="8">
        <v>474.30426651068302</v>
      </c>
      <c r="G111" s="8">
        <v>74.049716876182202</v>
      </c>
      <c r="H111" s="8">
        <f t="shared" si="3"/>
        <v>602.96921710727509</v>
      </c>
    </row>
    <row r="112" spans="2:8" x14ac:dyDescent="0.25">
      <c r="B112" s="1" t="s">
        <v>260</v>
      </c>
      <c r="C112" s="1" t="s">
        <v>111</v>
      </c>
      <c r="D112" s="8">
        <v>714.05755837357503</v>
      </c>
      <c r="E112" s="8">
        <v>779.46480117505405</v>
      </c>
      <c r="F112" s="8">
        <v>746.761179774315</v>
      </c>
      <c r="G112" s="8">
        <v>46.249904923640599</v>
      </c>
      <c r="H112" s="8">
        <f t="shared" si="3"/>
        <v>949.33576551431258</v>
      </c>
    </row>
    <row r="113" spans="1:8" x14ac:dyDescent="0.25">
      <c r="B113" s="1" t="s">
        <v>261</v>
      </c>
      <c r="C113" s="1" t="s">
        <v>112</v>
      </c>
      <c r="D113" s="8">
        <v>302.93366004700403</v>
      </c>
      <c r="E113" s="8">
        <v>310.732436242787</v>
      </c>
      <c r="F113" s="8">
        <v>306.83304814489497</v>
      </c>
      <c r="G113" s="8">
        <v>5.5145675329941302</v>
      </c>
      <c r="H113" s="8">
        <f t="shared" si="3"/>
        <v>390.06792872355294</v>
      </c>
    </row>
    <row r="114" spans="1:8" x14ac:dyDescent="0.25">
      <c r="B114" s="1" t="s">
        <v>262</v>
      </c>
      <c r="C114" s="1" t="s">
        <v>113</v>
      </c>
      <c r="D114" s="8">
        <v>263.33253417098501</v>
      </c>
      <c r="E114" s="8">
        <v>194.86600895615899</v>
      </c>
      <c r="F114" s="8">
        <v>229.09927156357199</v>
      </c>
      <c r="G114" s="8">
        <v>48.413144263683201</v>
      </c>
      <c r="H114" s="8">
        <f t="shared" si="3"/>
        <v>291.24723973239361</v>
      </c>
    </row>
    <row r="115" spans="1:8" x14ac:dyDescent="0.25">
      <c r="B115" s="1" t="s">
        <v>263</v>
      </c>
      <c r="C115" s="1" t="s">
        <v>114</v>
      </c>
      <c r="D115" s="8">
        <v>100.06620481255401</v>
      </c>
      <c r="E115" s="8">
        <v>63.199614312263598</v>
      </c>
      <c r="F115" s="8">
        <v>81.632909562408898</v>
      </c>
      <c r="G115" s="8">
        <v>26.068616141983</v>
      </c>
      <c r="H115" s="8">
        <f t="shared" si="3"/>
        <v>103.77754332919547</v>
      </c>
    </row>
    <row r="116" spans="1:8" x14ac:dyDescent="0.25">
      <c r="B116" s="1" t="s">
        <v>264</v>
      </c>
      <c r="C116" s="1" t="s">
        <v>115</v>
      </c>
      <c r="D116" s="8">
        <v>616.19847181662396</v>
      </c>
      <c r="E116" s="8">
        <v>542.46529081604297</v>
      </c>
      <c r="F116" s="8">
        <v>579.33188131633301</v>
      </c>
      <c r="G116" s="8">
        <v>52.137232283966298</v>
      </c>
      <c r="H116" s="8">
        <f t="shared" si="3"/>
        <v>736.48776868998743</v>
      </c>
    </row>
    <row r="117" spans="1:8" x14ac:dyDescent="0.25">
      <c r="B117" s="1" t="s">
        <v>265</v>
      </c>
      <c r="C117" s="1" t="s">
        <v>116</v>
      </c>
      <c r="D117" s="8">
        <v>526.66532345877499</v>
      </c>
      <c r="E117" s="8">
        <v>358.13233831458899</v>
      </c>
      <c r="F117" s="8">
        <v>442.39883088668199</v>
      </c>
      <c r="G117" s="8">
        <v>119.170816649066</v>
      </c>
      <c r="H117" s="8">
        <f t="shared" si="3"/>
        <v>562.40876488701838</v>
      </c>
    </row>
    <row r="118" spans="1:8" x14ac:dyDescent="0.25">
      <c r="B118" s="1" t="s">
        <v>266</v>
      </c>
      <c r="C118" s="1" t="s">
        <v>117</v>
      </c>
      <c r="D118" s="8">
        <v>279.13250152825202</v>
      </c>
      <c r="E118" s="8">
        <v>342.33237095732198</v>
      </c>
      <c r="F118" s="8">
        <v>310.732436242787</v>
      </c>
      <c r="G118" s="8">
        <v>44.689056243400103</v>
      </c>
      <c r="H118" s="8">
        <f t="shared" si="3"/>
        <v>395.02510738416368</v>
      </c>
    </row>
    <row r="119" spans="1:8" x14ac:dyDescent="0.25">
      <c r="B119" s="1" t="s">
        <v>267</v>
      </c>
      <c r="C119" s="1" t="s">
        <v>118</v>
      </c>
      <c r="D119" s="8">
        <v>463.46545402970497</v>
      </c>
      <c r="E119" s="8">
        <v>326.53240360005401</v>
      </c>
      <c r="F119" s="8">
        <v>394.99892881488</v>
      </c>
      <c r="G119" s="8">
        <v>96.826288527365804</v>
      </c>
      <c r="H119" s="8">
        <f t="shared" si="3"/>
        <v>502.15064818599092</v>
      </c>
    </row>
    <row r="120" spans="1:8" x14ac:dyDescent="0.25">
      <c r="B120" s="1" t="s">
        <v>268</v>
      </c>
      <c r="C120" s="1" t="s">
        <v>119</v>
      </c>
      <c r="D120" s="8">
        <v>484.53207717272898</v>
      </c>
      <c r="E120" s="8">
        <v>416.06555195790298</v>
      </c>
      <c r="F120" s="8">
        <v>450.29881456531598</v>
      </c>
      <c r="G120" s="8">
        <v>48.413144263683002</v>
      </c>
      <c r="H120" s="8">
        <f t="shared" si="3"/>
        <v>572.45178433719002</v>
      </c>
    </row>
    <row r="121" spans="1:8" x14ac:dyDescent="0.25">
      <c r="B121" s="1" t="s">
        <v>269</v>
      </c>
      <c r="C121" s="1" t="s">
        <v>120</v>
      </c>
      <c r="D121" s="8">
        <v>705.73162017447305</v>
      </c>
      <c r="E121" s="8">
        <v>753.13152224627504</v>
      </c>
      <c r="F121" s="8">
        <v>729.43157121037405</v>
      </c>
      <c r="G121" s="8">
        <v>33.5167921825498</v>
      </c>
      <c r="H121" s="8">
        <f t="shared" si="3"/>
        <v>927.30513824324271</v>
      </c>
    </row>
    <row r="122" spans="1:8" x14ac:dyDescent="0.25">
      <c r="B122" s="1" t="s">
        <v>270</v>
      </c>
      <c r="C122" s="1" t="s">
        <v>121</v>
      </c>
      <c r="D122" s="8">
        <v>710.99827596022897</v>
      </c>
      <c r="E122" s="8">
        <v>658.33171810267004</v>
      </c>
      <c r="F122" s="8">
        <v>684.66499703144996</v>
      </c>
      <c r="G122" s="8">
        <v>37.240880202832997</v>
      </c>
      <c r="H122" s="8">
        <f t="shared" si="3"/>
        <v>870.39469469227242</v>
      </c>
    </row>
    <row r="123" spans="1:8" x14ac:dyDescent="0.35">
      <c r="B123" s="1" t="s">
        <v>184</v>
      </c>
      <c r="C123" s="1" t="s">
        <v>35</v>
      </c>
      <c r="D123" s="8">
        <v>1032.2642788913299</v>
      </c>
      <c r="E123" s="8">
        <v>1132.3307388206899</v>
      </c>
      <c r="F123" s="8">
        <v>1082.2975088560099</v>
      </c>
      <c r="G123" s="8">
        <v>70.757672385382705</v>
      </c>
      <c r="H123" s="11">
        <v>1375.89334035089</v>
      </c>
    </row>
    <row r="125" spans="1:8" x14ac:dyDescent="0.25">
      <c r="A125" s="7">
        <v>45369</v>
      </c>
      <c r="B125" s="1" t="s">
        <v>271</v>
      </c>
      <c r="C125" s="1" t="s">
        <v>122</v>
      </c>
      <c r="D125" s="8">
        <v>891.954029075834</v>
      </c>
      <c r="E125" s="8">
        <v>748.60419141274201</v>
      </c>
      <c r="F125" s="8">
        <v>820.27911024428795</v>
      </c>
      <c r="G125" s="8">
        <v>101.363642293563</v>
      </c>
      <c r="H125" s="8">
        <f t="shared" ref="H125:H143" si="4">F125/$F$144*$H$144</f>
        <v>993.34363168220568</v>
      </c>
    </row>
    <row r="126" spans="1:8" x14ac:dyDescent="0.25">
      <c r="B126" s="9" t="s">
        <v>272</v>
      </c>
      <c r="C126" s="9" t="s">
        <v>123</v>
      </c>
      <c r="D126" s="10">
        <v>1364.47714189351</v>
      </c>
      <c r="E126" s="10">
        <v>1290.14753419256</v>
      </c>
      <c r="F126" s="10">
        <v>1327.31233804303</v>
      </c>
      <c r="G126" s="10">
        <v>52.558969648283998</v>
      </c>
      <c r="H126" s="10">
        <f t="shared" si="4"/>
        <v>1607.3519876126138</v>
      </c>
    </row>
    <row r="127" spans="1:8" x14ac:dyDescent="0.25">
      <c r="B127" s="1" t="s">
        <v>273</v>
      </c>
      <c r="C127" s="1" t="s">
        <v>124</v>
      </c>
      <c r="D127" s="8">
        <v>599.94536385142499</v>
      </c>
      <c r="E127" s="8">
        <v>472.52327156420898</v>
      </c>
      <c r="F127" s="8">
        <v>536.23431770781701</v>
      </c>
      <c r="G127" s="8">
        <v>90.101025529267304</v>
      </c>
      <c r="H127" s="8">
        <f t="shared" si="4"/>
        <v>649.37036422380572</v>
      </c>
    </row>
    <row r="128" spans="1:8" x14ac:dyDescent="0.25">
      <c r="B128" s="1" t="s">
        <v>274</v>
      </c>
      <c r="C128" s="1" t="s">
        <v>125</v>
      </c>
      <c r="D128" s="8">
        <v>700.82108456531103</v>
      </c>
      <c r="E128" s="8">
        <v>631.800725322978</v>
      </c>
      <c r="F128" s="8">
        <v>666.31090494414502</v>
      </c>
      <c r="G128" s="8">
        <v>48.8047640601851</v>
      </c>
      <c r="H128" s="8">
        <f t="shared" si="4"/>
        <v>806.8908324991479</v>
      </c>
    </row>
    <row r="129" spans="2:13" x14ac:dyDescent="0.25">
      <c r="B129" s="1" t="s">
        <v>275</v>
      </c>
      <c r="C129" s="1" t="s">
        <v>126</v>
      </c>
      <c r="D129" s="8">
        <v>1003.4482467069701</v>
      </c>
      <c r="E129" s="8">
        <v>791.07817908174695</v>
      </c>
      <c r="F129" s="8">
        <v>897.26321289435998</v>
      </c>
      <c r="G129" s="8">
        <v>150.168314938842</v>
      </c>
      <c r="H129" s="8">
        <f t="shared" si="4"/>
        <v>1086.5700312737349</v>
      </c>
    </row>
    <row r="130" spans="2:13" x14ac:dyDescent="0.25">
      <c r="B130" s="1" t="s">
        <v>276</v>
      </c>
      <c r="C130" s="1" t="s">
        <v>127</v>
      </c>
      <c r="D130" s="8">
        <v>838.861544489577</v>
      </c>
      <c r="E130" s="8">
        <v>759.22268832999305</v>
      </c>
      <c r="F130" s="8">
        <v>799.04211640978497</v>
      </c>
      <c r="G130" s="8">
        <v>56.313175236382001</v>
      </c>
      <c r="H130" s="8">
        <f t="shared" si="4"/>
        <v>967.62600420867977</v>
      </c>
    </row>
    <row r="131" spans="2:13" x14ac:dyDescent="0.25">
      <c r="B131" s="1" t="s">
        <v>277</v>
      </c>
      <c r="C131" s="1" t="s">
        <v>128</v>
      </c>
      <c r="D131" s="8">
        <v>621.18235768592695</v>
      </c>
      <c r="E131" s="8">
        <v>546.852749984968</v>
      </c>
      <c r="F131" s="8">
        <v>584.01755383544696</v>
      </c>
      <c r="G131" s="8">
        <v>52.558969648283899</v>
      </c>
      <c r="H131" s="8">
        <f t="shared" si="4"/>
        <v>707.2350260392368</v>
      </c>
    </row>
    <row r="132" spans="2:13" x14ac:dyDescent="0.25">
      <c r="B132" s="1" t="s">
        <v>278</v>
      </c>
      <c r="C132" s="1" t="s">
        <v>129</v>
      </c>
      <c r="D132" s="8">
        <v>716.74882994118798</v>
      </c>
      <c r="E132" s="8">
        <v>525.61575615046604</v>
      </c>
      <c r="F132" s="8">
        <v>621.18229304582701</v>
      </c>
      <c r="G132" s="8">
        <v>135.151492586448</v>
      </c>
      <c r="H132" s="8">
        <f t="shared" si="4"/>
        <v>752.24087411790651</v>
      </c>
    </row>
    <row r="133" spans="2:13" x14ac:dyDescent="0.25">
      <c r="B133" s="1" t="s">
        <v>279</v>
      </c>
      <c r="C133" s="1" t="s">
        <v>130</v>
      </c>
      <c r="D133" s="8">
        <v>509.68814005478902</v>
      </c>
      <c r="E133" s="8">
        <v>408.81229006070203</v>
      </c>
      <c r="F133" s="8">
        <v>459.25021505774498</v>
      </c>
      <c r="G133" s="8">
        <v>71.329997588775399</v>
      </c>
      <c r="H133" s="8">
        <f t="shared" si="4"/>
        <v>556.14396463227627</v>
      </c>
    </row>
    <row r="134" spans="2:13" x14ac:dyDescent="0.25">
      <c r="B134" s="1" t="s">
        <v>280</v>
      </c>
      <c r="C134" s="1" t="s">
        <v>131</v>
      </c>
      <c r="D134" s="8">
        <v>732.67657531706504</v>
      </c>
      <c r="E134" s="8">
        <v>568.08974381947098</v>
      </c>
      <c r="F134" s="8">
        <v>650.38315956826796</v>
      </c>
      <c r="G134" s="8">
        <v>116.380464645956</v>
      </c>
      <c r="H134" s="8">
        <f t="shared" si="4"/>
        <v>787.60261189400387</v>
      </c>
    </row>
    <row r="135" spans="2:13" x14ac:dyDescent="0.25">
      <c r="B135" s="1" t="s">
        <v>281</v>
      </c>
      <c r="C135" s="1" t="s">
        <v>132</v>
      </c>
      <c r="D135" s="8">
        <v>653.03784843768096</v>
      </c>
      <c r="E135" s="8">
        <v>557.47124690221904</v>
      </c>
      <c r="F135" s="8">
        <v>605.25454766994994</v>
      </c>
      <c r="G135" s="8">
        <v>67.575792000677495</v>
      </c>
      <c r="H135" s="8">
        <f t="shared" si="4"/>
        <v>732.95265351276248</v>
      </c>
    </row>
    <row r="136" spans="2:13" x14ac:dyDescent="0.25">
      <c r="B136" s="1" t="s">
        <v>282</v>
      </c>
      <c r="C136" s="1" t="s">
        <v>133</v>
      </c>
      <c r="D136" s="8">
        <v>955.66501057934101</v>
      </c>
      <c r="E136" s="8">
        <v>870.71690596113103</v>
      </c>
      <c r="F136" s="8">
        <v>913.19095827023602</v>
      </c>
      <c r="G136" s="8">
        <v>60.067380824480601</v>
      </c>
      <c r="H136" s="8">
        <f t="shared" si="4"/>
        <v>1105.858251878878</v>
      </c>
    </row>
    <row r="137" spans="2:13" x14ac:dyDescent="0.25">
      <c r="B137" s="1" t="s">
        <v>283</v>
      </c>
      <c r="C137" s="1" t="s">
        <v>134</v>
      </c>
      <c r="D137" s="8">
        <v>1024.68524054147</v>
      </c>
      <c r="E137" s="8">
        <v>828.24291829212598</v>
      </c>
      <c r="F137" s="8">
        <v>926.46407941680002</v>
      </c>
      <c r="G137" s="8">
        <v>138.90569817454701</v>
      </c>
      <c r="H137" s="8">
        <f t="shared" si="4"/>
        <v>1121.931769049831</v>
      </c>
    </row>
    <row r="138" spans="2:13" x14ac:dyDescent="0.25">
      <c r="B138" s="1" t="s">
        <v>284</v>
      </c>
      <c r="C138" s="1" t="s">
        <v>135</v>
      </c>
      <c r="D138" s="8">
        <v>456.59565546853298</v>
      </c>
      <c r="E138" s="8">
        <v>445.97702927108099</v>
      </c>
      <c r="F138" s="8">
        <v>451.28634236980702</v>
      </c>
      <c r="G138" s="8">
        <v>7.5085025911030199</v>
      </c>
      <c r="H138" s="8">
        <f t="shared" si="4"/>
        <v>546.49985432970493</v>
      </c>
    </row>
    <row r="139" spans="2:13" x14ac:dyDescent="0.25">
      <c r="B139" s="1" t="s">
        <v>285</v>
      </c>
      <c r="C139" s="1" t="s">
        <v>136</v>
      </c>
      <c r="D139" s="8">
        <v>870.71703524133102</v>
      </c>
      <c r="E139" s="8">
        <v>732.67644603686495</v>
      </c>
      <c r="F139" s="8">
        <v>801.69674063909804</v>
      </c>
      <c r="G139" s="8">
        <v>97.609436705464901</v>
      </c>
      <c r="H139" s="8">
        <f t="shared" si="4"/>
        <v>970.84070764287071</v>
      </c>
    </row>
    <row r="140" spans="2:13" x14ac:dyDescent="0.25">
      <c r="B140" s="1" t="s">
        <v>286</v>
      </c>
      <c r="C140" s="1" t="s">
        <v>137</v>
      </c>
      <c r="D140" s="8">
        <v>780.45981144469602</v>
      </c>
      <c r="E140" s="8">
        <v>966.28337821639298</v>
      </c>
      <c r="F140" s="8">
        <v>873.37159483054404</v>
      </c>
      <c r="G140" s="8">
        <v>131.39710416853799</v>
      </c>
      <c r="H140" s="8">
        <f t="shared" si="4"/>
        <v>1057.6377003660184</v>
      </c>
      <c r="L140" s="8"/>
    </row>
    <row r="141" spans="2:13" x14ac:dyDescent="0.35">
      <c r="B141" s="1" t="s">
        <v>287</v>
      </c>
      <c r="C141" s="1" t="s">
        <v>138</v>
      </c>
      <c r="D141" s="8">
        <v>743.29507223431597</v>
      </c>
      <c r="E141" s="8">
        <v>822.93366983349995</v>
      </c>
      <c r="F141" s="8">
        <v>783.11437103390801</v>
      </c>
      <c r="G141" s="8">
        <v>56.312992406569897</v>
      </c>
      <c r="H141" s="8">
        <f t="shared" si="4"/>
        <v>948.33778360353585</v>
      </c>
      <c r="M141" s="11"/>
    </row>
    <row r="142" spans="2:13" x14ac:dyDescent="0.25">
      <c r="B142" s="1" t="s">
        <v>288</v>
      </c>
      <c r="C142" s="1" t="s">
        <v>139</v>
      </c>
      <c r="D142" s="8">
        <v>764.53206606881895</v>
      </c>
      <c r="E142" s="8">
        <v>801.69667599899799</v>
      </c>
      <c r="F142" s="8">
        <v>783.11437103390904</v>
      </c>
      <c r="G142" s="8">
        <v>26.279347701783099</v>
      </c>
      <c r="H142" s="8">
        <f t="shared" si="4"/>
        <v>948.33778360353699</v>
      </c>
    </row>
    <row r="143" spans="2:13" x14ac:dyDescent="0.25">
      <c r="B143" s="1" t="s">
        <v>140</v>
      </c>
      <c r="C143" s="1" t="s">
        <v>141</v>
      </c>
      <c r="D143" s="8">
        <v>716.74882994118798</v>
      </c>
      <c r="E143" s="8">
        <v>514.99725923321398</v>
      </c>
      <c r="F143" s="8">
        <v>615.87304458720098</v>
      </c>
      <c r="G143" s="8">
        <v>142.659903762645</v>
      </c>
      <c r="H143" s="8">
        <f t="shared" si="4"/>
        <v>745.81146724952487</v>
      </c>
    </row>
    <row r="144" spans="2:13" x14ac:dyDescent="0.35">
      <c r="B144" s="1" t="s">
        <v>184</v>
      </c>
      <c r="C144" s="1" t="s">
        <v>35</v>
      </c>
      <c r="D144" s="8">
        <v>1194.58119121749</v>
      </c>
      <c r="E144" s="8">
        <v>1077.7775958475299</v>
      </c>
      <c r="F144" s="8">
        <v>1136.1793935325099</v>
      </c>
      <c r="G144" s="8">
        <v>82.592614353071099</v>
      </c>
      <c r="H144" s="11">
        <v>1375.89334035089</v>
      </c>
    </row>
    <row r="146" spans="1:8" x14ac:dyDescent="0.25">
      <c r="A146" s="7">
        <v>45393</v>
      </c>
      <c r="B146" s="1" t="s">
        <v>289</v>
      </c>
      <c r="C146" s="1" t="s">
        <v>142</v>
      </c>
      <c r="D146" s="8">
        <v>1058.30497445178</v>
      </c>
      <c r="E146" s="8">
        <v>1009.08148726798</v>
      </c>
      <c r="F146" s="8">
        <v>1033.69323085988</v>
      </c>
      <c r="G146" s="8">
        <v>34.806261581316299</v>
      </c>
      <c r="H146" s="8">
        <f>F146/$F$159*$H$159</f>
        <v>1098.6220588353117</v>
      </c>
    </row>
    <row r="147" spans="1:8" x14ac:dyDescent="0.25">
      <c r="B147" s="1" t="s">
        <v>290</v>
      </c>
      <c r="C147" s="1" t="s">
        <v>143</v>
      </c>
      <c r="D147" s="8">
        <v>0</v>
      </c>
      <c r="E147" s="8">
        <v>0</v>
      </c>
      <c r="F147" s="8">
        <v>0</v>
      </c>
      <c r="G147" s="8">
        <v>0</v>
      </c>
      <c r="H147" s="8">
        <f t="shared" ref="H147:H158" si="5">F147/$F$159*$H$159</f>
        <v>0</v>
      </c>
    </row>
    <row r="148" spans="1:8" x14ac:dyDescent="0.25">
      <c r="B148" s="1" t="s">
        <v>291</v>
      </c>
      <c r="C148" s="1" t="s">
        <v>144</v>
      </c>
      <c r="D148" s="8">
        <v>881.10042059008595</v>
      </c>
      <c r="E148" s="8">
        <v>802.34284109600003</v>
      </c>
      <c r="F148" s="8">
        <v>841.72163084304304</v>
      </c>
      <c r="G148" s="8">
        <v>55.690018530106798</v>
      </c>
      <c r="H148" s="8">
        <f t="shared" si="5"/>
        <v>894.59224790875146</v>
      </c>
    </row>
    <row r="149" spans="1:8" x14ac:dyDescent="0.25">
      <c r="B149" s="1" t="s">
        <v>292</v>
      </c>
      <c r="C149" s="1" t="s">
        <v>145</v>
      </c>
      <c r="D149" s="8">
        <v>945.090953929031</v>
      </c>
      <c r="E149" s="8">
        <v>915.55686161874905</v>
      </c>
      <c r="F149" s="8">
        <v>930.32390777389003</v>
      </c>
      <c r="G149" s="8">
        <v>20.8837569487902</v>
      </c>
      <c r="H149" s="8">
        <f t="shared" si="5"/>
        <v>988.75985295177827</v>
      </c>
    </row>
    <row r="150" spans="1:8" x14ac:dyDescent="0.25">
      <c r="B150" s="1" t="s">
        <v>293</v>
      </c>
      <c r="C150" s="1" t="s">
        <v>146</v>
      </c>
      <c r="D150" s="8">
        <v>1092.7614154804401</v>
      </c>
      <c r="E150" s="8">
        <v>1033.69323085988</v>
      </c>
      <c r="F150" s="8">
        <v>1063.2273231701599</v>
      </c>
      <c r="G150" s="8">
        <v>41.767513897580201</v>
      </c>
      <c r="H150" s="8">
        <f t="shared" si="5"/>
        <v>1130.0112605163181</v>
      </c>
    </row>
    <row r="151" spans="1:8" x14ac:dyDescent="0.25">
      <c r="B151" s="9" t="s">
        <v>294</v>
      </c>
      <c r="C151" s="9" t="s">
        <v>147</v>
      </c>
      <c r="D151" s="10">
        <v>2032.93002069109</v>
      </c>
      <c r="E151" s="10">
        <v>1934.48304632349</v>
      </c>
      <c r="F151" s="10">
        <v>1983.70653350729</v>
      </c>
      <c r="G151" s="10">
        <v>69.612523162633195</v>
      </c>
      <c r="H151" s="10">
        <f t="shared" si="5"/>
        <v>2108.3080462410944</v>
      </c>
    </row>
    <row r="152" spans="1:8" x14ac:dyDescent="0.25">
      <c r="B152" s="9" t="s">
        <v>295</v>
      </c>
      <c r="C152" s="9" t="s">
        <v>148</v>
      </c>
      <c r="D152" s="10">
        <v>1452.09287192221</v>
      </c>
      <c r="E152" s="10">
        <v>1373.3352924281201</v>
      </c>
      <c r="F152" s="10">
        <v>1412.71408217517</v>
      </c>
      <c r="G152" s="10">
        <v>55.690018530106798</v>
      </c>
      <c r="H152" s="10">
        <f t="shared" si="5"/>
        <v>1501.4501470749267</v>
      </c>
    </row>
    <row r="153" spans="1:8" x14ac:dyDescent="0.25">
      <c r="B153" s="1" t="s">
        <v>296</v>
      </c>
      <c r="C153" s="1" t="s">
        <v>149</v>
      </c>
      <c r="D153" s="8">
        <v>777.73109750409901</v>
      </c>
      <c r="E153" s="8">
        <v>895.86746674522794</v>
      </c>
      <c r="F153" s="8">
        <v>836.79928212466302</v>
      </c>
      <c r="G153" s="8">
        <v>83.535027795160204</v>
      </c>
      <c r="H153" s="8">
        <f t="shared" si="5"/>
        <v>889.36071429525032</v>
      </c>
    </row>
    <row r="154" spans="1:8" x14ac:dyDescent="0.25">
      <c r="B154" s="9" t="s">
        <v>297</v>
      </c>
      <c r="C154" s="9" t="s">
        <v>150</v>
      </c>
      <c r="D154" s="10">
        <v>1540.6951488530599</v>
      </c>
      <c r="E154" s="10">
        <v>1452.09287192221</v>
      </c>
      <c r="F154" s="10">
        <v>1496.39401038763</v>
      </c>
      <c r="G154" s="10">
        <v>62.651270846369798</v>
      </c>
      <c r="H154" s="10">
        <f t="shared" si="5"/>
        <v>1590.3862185044447</v>
      </c>
    </row>
    <row r="155" spans="1:8" x14ac:dyDescent="0.25">
      <c r="B155" s="1" t="s">
        <v>298</v>
      </c>
      <c r="C155" s="1" t="s">
        <v>151</v>
      </c>
      <c r="D155" s="8">
        <v>1102.6061129172001</v>
      </c>
      <c r="E155" s="8">
        <v>984.46974367607402</v>
      </c>
      <c r="F155" s="8">
        <v>1043.5379282966401</v>
      </c>
      <c r="G155" s="8">
        <v>83.535027795160005</v>
      </c>
      <c r="H155" s="8">
        <f t="shared" si="5"/>
        <v>1109.085126062314</v>
      </c>
    </row>
    <row r="156" spans="1:8" x14ac:dyDescent="0.25">
      <c r="B156" s="9" t="s">
        <v>299</v>
      </c>
      <c r="C156" s="9" t="s">
        <v>152</v>
      </c>
      <c r="D156" s="10">
        <v>1333.9565026810801</v>
      </c>
      <c r="E156" s="10">
        <v>1265.04362062376</v>
      </c>
      <c r="F156" s="10">
        <v>1299.5000616524201</v>
      </c>
      <c r="G156" s="10">
        <v>48.728766213843201</v>
      </c>
      <c r="H156" s="10">
        <f t="shared" si="5"/>
        <v>1381.1248739643913</v>
      </c>
    </row>
    <row r="157" spans="1:8" x14ac:dyDescent="0.25">
      <c r="B157" s="1" t="s">
        <v>300</v>
      </c>
      <c r="C157" s="1" t="s">
        <v>153</v>
      </c>
      <c r="D157" s="8">
        <v>1240.43187703185</v>
      </c>
      <c r="E157" s="8">
        <v>1112.4508103539599</v>
      </c>
      <c r="F157" s="8">
        <v>1176.4413436929101</v>
      </c>
      <c r="G157" s="8">
        <v>90.496280111423303</v>
      </c>
      <c r="H157" s="8">
        <f t="shared" si="5"/>
        <v>1250.3365336268537</v>
      </c>
    </row>
    <row r="158" spans="1:8" x14ac:dyDescent="0.25">
      <c r="B158" s="1" t="s">
        <v>301</v>
      </c>
      <c r="C158" s="1" t="s">
        <v>154</v>
      </c>
      <c r="D158" s="8">
        <v>9.8446974367607396</v>
      </c>
      <c r="E158" s="8">
        <v>157.515158988172</v>
      </c>
      <c r="F158" s="8">
        <v>83.679928212466294</v>
      </c>
      <c r="G158" s="8">
        <v>104.41878474395</v>
      </c>
      <c r="H158" s="8">
        <f t="shared" si="5"/>
        <v>88.936071429525029</v>
      </c>
    </row>
    <row r="159" spans="1:8" x14ac:dyDescent="0.35">
      <c r="B159" s="1" t="s">
        <v>184</v>
      </c>
      <c r="C159" s="1" t="s">
        <v>35</v>
      </c>
      <c r="D159" s="8">
        <v>1324.1118052443201</v>
      </c>
      <c r="E159" s="8">
        <v>1265.04362062376</v>
      </c>
      <c r="F159" s="8">
        <v>1294.5777129340399</v>
      </c>
      <c r="G159" s="8">
        <v>41.767513897579803</v>
      </c>
      <c r="H159" s="11">
        <v>1375.89334035089</v>
      </c>
    </row>
    <row r="160" spans="1:8" s="13" customFormat="1" x14ac:dyDescent="0.25">
      <c r="A160" s="15" t="s">
        <v>155</v>
      </c>
      <c r="B160" s="15"/>
      <c r="C160" s="15"/>
      <c r="D160" s="15"/>
      <c r="E160" s="15"/>
      <c r="F160" s="15"/>
      <c r="G160" s="15"/>
      <c r="H160" s="15"/>
    </row>
  </sheetData>
  <mergeCells count="2">
    <mergeCell ref="A1:H1"/>
    <mergeCell ref="A160:H160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2026-01-04T10:49:45Z</dcterms:created>
  <dcterms:modified xsi:type="dcterms:W3CDTF">2026-01-10T15:18:39Z</dcterms:modified>
</cp:coreProperties>
</file>