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 (V3)-20260104\"/>
    </mc:Choice>
  </mc:AlternateContent>
  <xr:revisionPtr revIDLastSave="0" documentId="8_{2193166F-0927-4100-984E-7DB16D5943E3}" xr6:coauthVersionLast="47" xr6:coauthVersionMax="47" xr10:uidLastSave="{00000000-0000-0000-0000-000000000000}"/>
  <bookViews>
    <workbookView xWindow="25900" yWindow="-120" windowWidth="21580" windowHeight="13660" xr2:uid="{F9F6FE9F-BF80-461D-8B48-D08D3415F5EC}"/>
  </bookViews>
  <sheets>
    <sheet name="Table S8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4" i="1" l="1"/>
  <c r="H73" i="1"/>
  <c r="H70" i="1"/>
  <c r="H69" i="1"/>
  <c r="H68" i="1"/>
  <c r="H67" i="1"/>
  <c r="H66" i="1"/>
  <c r="H63" i="1"/>
  <c r="H62" i="1"/>
  <c r="H61" i="1"/>
  <c r="H60" i="1"/>
  <c r="H59" i="1"/>
  <c r="H58" i="1"/>
  <c r="H57" i="1"/>
  <c r="H56" i="1"/>
  <c r="H55" i="1"/>
  <c r="H52" i="1"/>
  <c r="H51" i="1"/>
  <c r="H50" i="1"/>
  <c r="H49" i="1"/>
  <c r="H46" i="1"/>
  <c r="H45" i="1"/>
  <c r="H44" i="1"/>
  <c r="H43" i="1"/>
  <c r="H42" i="1"/>
  <c r="H41" i="1"/>
  <c r="H40" i="1"/>
  <c r="H39" i="1"/>
  <c r="H38" i="1"/>
  <c r="H37" i="1"/>
  <c r="H36" i="1"/>
  <c r="H35" i="1"/>
  <c r="H32" i="1"/>
  <c r="H31" i="1"/>
  <c r="H30" i="1"/>
  <c r="H29" i="1"/>
  <c r="H28" i="1"/>
  <c r="H27" i="1"/>
  <c r="H26" i="1"/>
  <c r="H25" i="1"/>
  <c r="H24" i="1"/>
  <c r="H23" i="1"/>
  <c r="H22" i="1"/>
  <c r="H21" i="1"/>
  <c r="H18" i="1"/>
  <c r="H17" i="1"/>
  <c r="H16" i="1"/>
  <c r="H15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<sst xmlns="http://schemas.openxmlformats.org/spreadsheetml/2006/main" count="139" uniqueCount="125">
  <si>
    <r>
      <rPr>
        <b/>
        <sz val="12"/>
        <rFont val="Times New Roman"/>
        <family val="1"/>
      </rPr>
      <t xml:space="preserve">Table S8. </t>
    </r>
    <r>
      <rPr>
        <sz val="12"/>
        <rFont val="Times New Roman"/>
        <family val="1"/>
      </rPr>
      <t>Top 57 predicted mutants and their volumetric isomerization activity after the second round of training.</t>
    </r>
    <phoneticPr fontId="3" type="noConversion"/>
  </si>
  <si>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</si>
  <si>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</si>
  <si>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</si>
  <si>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</si>
  <si>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</si>
  <si>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</si>
  <si>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</si>
  <si>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EA174A,QA371E</t>
  </si>
  <si>
    <t>MDITRFKEDLKAHLEEKIIPFWQSLKDDEFGGYYGYMDFNLNIDRKAQKGCILNSRILWFFSACYNVLKSEKCKEMAFHAFEFLKNKFWDKEYEGLFWSVSHKGVPVDVTKHVYVQAFGIYGLSEYYEASGDEEALHMAKRLFEILETKCKRENGYTEQFERNWQEKENRFLSANGVIASKTMNTHLHVLESYTNLYRLLKLDDVYEALEWIVRLFVDKIYKKGTGHFKVFCDDNWNELIKAVSYGHDIEASWLLDQAAKYLKDEKLKEEVEKLALEVAQITLKEAFDGQSLINEMIEDRIDRSKIWWVEAETVVGFFNAYQKTKEEKYLDAAIKTWEFIKEHLVDRRKNSEWLWKVNEDLEAVNMPIVEEWKCPYHNGRMCLEIIKRVD</t>
  </si>
  <si>
    <t>EA174S,QA371E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</si>
  <si>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EWKCPYHNGRMCLEIIKRVD</t>
  </si>
  <si>
    <t>EA174Q,QA371E</t>
  </si>
  <si>
    <t>MDITRFKEDLKAHLEEKIIPFWQSLKDDEFGGYYGYMDFNLNIDRKAQKGCILNSRILWFFSACYNVLKSEKCKEMAFHAFEFLKNKFWDKEYEGLFWSVSHKGVPVDVTKHVYVQAFGIYGLSEYYEASGDEEALHMAKRLFEILETKCKRENGYTEQFERNWQEKENRFLSQNGVIASKTMNTHLHVLESYTNLYRLLKLDDVYEALEWIVRLFVDKIYKKGTGHFKVFCDDNWNELIKAVSYGHDIEASWLLDQAAKYLKDEKLKEEVEKLALEVAQITLKEAFDGQSLINEMIEDRIDRSKIWWVEAETVVGFFNAYQKTKEEKYLDAAIKTWEFIKEHLVDRRKNSEWLWKVNEDLEAVNMPIVEEWKCPYHNGRMCLEIIKRVD</t>
  </si>
  <si>
    <t>EA174N,QA371E</t>
  </si>
  <si>
    <t>MDITRFKEDLKAHLEEKIIPFWQSLKDDEFGGYYGYMDFNLNIDRKAQKGCILNSRILWFFSACYNVLKSEKCKEMAFHAFEFLKNKFWDKEYEGLFWSVSHKGVPVDVTKHVYVQAFGIYGLSEYYEASGDEEALHMAKRLFEILETKCKRENGYTEQFERNWQEKENRFLSNNGVIASKTMNTHLHVLESYTNLYRLLKLDDVYEALEWIVRLFVDKIYKKGTGHFKVFCDDNWNELIKAVSYGHDIEASWLLDQAAKYLKDEKLKEEVEKLALEVAQITLKEAFDGQSLINEMIEDRIDRSKIWWVEAETVVGFFNAYQKTKEEKYLDAAIKTWEFIKEHLVDRRKNSEWLWKVNEDLEAVNMPIVEEWKCPYHNGRMCLEIIKRVD</t>
  </si>
  <si>
    <t>EA174H,QA371E</t>
  </si>
  <si>
    <t>MDITRFKEDLKAHLEEKIIPFWQSLKDDEFGGYYGYMDFNLNIDRKAQKGCILNSRILWFFSACYNVLKSEKCKEMAFHAFEFLKNKFWDKEYEGLFWSVSHKGVPVDVTKHVYVQAFGIYGLSEYYEASGDEEALHMAKRLFEILETKCKRENGYTEQFERNWQEKENRFLSHNGVIASKTMNTHLHVLESYTNLYRLLKLDDVYEALEWIVRLFVDKIYKKGTGHFKVFCDDNWNELIKAVSYGHDIEASWLLDQAAKYLKDEKLKEEVEKLALEVAQITLKEAFDGQSLINEMIEDRIDRSKIWWVEAETVVGFFNAYQKTKEEKYLDAAIKTWEFIKEHLVDRRKNSEWLWKVNEDLEAVNMPIVEEWKCPYHNGRMCLEIIKRVD</t>
  </si>
  <si>
    <t>EA174P,LA361Y,QA371E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</si>
  <si>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YEAVNMPIVEEWKCPYHNGRMCLEIIKRVD</t>
  </si>
  <si>
    <t>EA174P,LA361G,QA371E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</si>
  <si>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DGEAVNMPIVEEWKCPYHNGRMCLEIIKRVD</t>
  </si>
  <si>
    <t>EA174P,KA356G,QA371E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</si>
  <si>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GVNEDLEAVNMPIVEEWKCPYHNGRMCLEIIKRVD</t>
  </si>
  <si>
    <t>EA174P,DA360Y,LA361G,QA371E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</si>
  <si>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NEYGEAVNMPIVEE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</si>
  <si>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</si>
  <si>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</si>
  <si>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QA371E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</si>
  <si>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</si>
  <si>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VA177M,QA371E</t>
  </si>
  <si>
    <t>MDITRFKEDLKAHLEEKIIPFWQSLKDDEFGGYYGYMDFNLNIDRKAQKGCILNSRILWFFSACYNVLKSEKCKEMAFHAFEFLKNKFWDKEYEGLFWSVSHKGVPVDVTKHVYVQAFGIYGLSEYYEASGDEEALHMAKRLFEILETKCKRENGYTEQFERNWQEKENRFLSENGMIASKTMNTHLHVLESYTNLYRLLKLDDVYEALEWIVRLFVDKIYKKGTGHFKVFCDDNWNELIKAVSYGHDIEASWLLDQAAKYLKDEKLKEEVEKLALEVAQITLKEAFDGQSLINEMIEDRIDRSKIWWVEAETVVGFFNAYQKTKEEKYLDAAIKTWEFIKEHLVDRRKNSEWLWKVNEDLEAVNMPIVEEWKCPYHNGRMCLEIIKRVD</t>
  </si>
  <si>
    <t>IA178T,QA371E</t>
  </si>
  <si>
    <t>MDITRFKEDLKAHLEEKIIPFWQSLKDDEFGGYYGYMDFNLNIDRKAQKGCILNSRILWFFSACYNVLKSEKCKEMAFHAFEFLKNKFWDKEYEGLFWSVSHKGVPVDVTKHVYVQAFGIYGLSEYYEASGDEEALHMAKRLFEILETKCKRENGYTEQFERNWQEKENRFLSENGVTASKTMNTHLHVLESYTNLYRLLKLDDVYEALEWIVRLFVDKIYKKGTGHFKVFCDDNWNELIKAVSYGHDIEASWLLDQAAKYLKDEKLKEEVEKLALEVAQITLKEAFDGQSLINEMIEDRIDRSKIWWVEAETVVGFFNAYQKTKEEKYLDAAIKTWEFIKEHLVDRRKNSEWLWKVNEDLEAVNMPIVEEWKCPYHNGRMCLEIIKRVD</t>
  </si>
  <si>
    <t>EA174Q,NA175T,QA371E</t>
  </si>
  <si>
    <t>MDITRFKEDLKAHLEEKIIPFWQSLKDDEFGGYYGYMDFNLNIDRKAQKGCILNSRILWFFSACYNVLKSEKCKEMAFHAFEFLKNKFWDKEYEGLFWSVSHKGVPVDVTKHVYVQAFGIYGLSEYYEASGDEEALHMAKRLFEILETKCKRENGYTEQFERNWQEKENRFLSQTGVIASKTMNTHLHVLESYTNLYRLLKLDDVYEALEWIVRLFVDKIYKKGTGHFKVFCDDNWNELIKAVSYGHDIEASWLLDQAAKYLKDEKLKEEVEKLALEVAQITLKEAFDGQSLINEMIEDRIDRSKIWWVEAETVVGFFNAYQKTKEEKYLDAAIKTWEFIKEHLVDRRKNSEWLWKVNEDLEAVNMPIVEEWKCPYHNGRMCLEIIKRVD</t>
  </si>
  <si>
    <t>EA174P,KA356Y,LA361Y,QA371E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</si>
  <si>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YVNEDYEAVNMPIVEEWKCPYHNGRMCLEIIKRVD</t>
  </si>
  <si>
    <t>EA174P,NA175S</t>
  </si>
  <si>
    <t>MDITRFKEDLKAHLEEKIIPFWQSLKDDEFGGYYGYMDFNLNIDRKAQKGCILNSRILWFFSACYNVLKSEKCKEMAFHAFEFLKNKFWDKEYEGLFWSVSHKGVPVDVTKHVYVQAFGIYGLSEYYEASGDEEALHMAKRLFEILETKCKRENGYTEQFERNWQEKENRFLSPSGVIASKTMNTHLHVLESYTNLYRLLKLDDVYEALEWIVRLFVDKIYKKGTGHFKVFCDDNWNELIKAVSYGHDIEASWLLDQAAKYLKDEKLKEEVEKLALEVAQITLKEAFDGQSLINEMIEDRIDRSKIWWVEAETVVGFFNAYQKTKEEKYLDAAIKTWEFIKEHLVDRRKNSEWLWKVNEDLEAVNMPIVEQWKCPYHNGRMCLEIIKRVD</t>
  </si>
  <si>
    <t>EA174P,NA175E</t>
  </si>
  <si>
    <t>MDITRFKEDLKAHLEEKIIPFWQSLKDDEFGGYYGYMDFNLNIDRKAQKGCILNSRILWFFSACYNVLKSEKCKEMAFHAFEFLKNKFWDKEYEGLFWSVSHKGVPVDVTKHVYVQAFGIYGLSEYYEASGDEEALHMAKRLFEILETKCKRENGYTEQFERNWQEKENRFLSPEGVIASKTMNTHLHVLESYTNLYRLLKLDDVYEALEWIVRLFVDKIYKKGTGHFKVFCDDNWNELIKAVSYGHDIEASWLLDQAAKYLKDEKLKEEVEKLALEVAQITLKEAFDGQSLINEMIEDRIDRSKIWWVEAETVVGFFNAYQKTKEEKYLDAAIKTWEFIKEHLVDRRKNSEWLWKVNEDLEAVNMPIVEQWKCPYHNGRMCLEIIKRVD</t>
  </si>
  <si>
    <t>EA174P,NA175Q</t>
  </si>
  <si>
    <t>MDITRFKEDLKAHLEEKIIPFWQSLKDDEFGGYYGYMDFNLNIDRKAQKGCILNSRILWFFSACYNVLKSEKCKEMAFHAFEFLKNKFWDKEYEGLFWSVSHKGVPVDVTKHVYVQAFGIYGLSEYYEASGDEEALHMAKRLFEILETKCKRENGYTEQFERNWQEKENRFLSPQGVIASKTMNTHLHVLESYTNLYRLLKLDDVYEALEWIVRLFVDKIYKKGTGHFKVFCDDNWNELIKAVSYGHDIEASWLLDQAAKYLKDEKLKEEVEKLALEVAQITLKEAFDGQSLINEMIEDRIDRSKIWWVEAETVVGFFNAYQKTKEEKYLDAAIKTWEFIKEHLVDRRKNSEWLWKVNEDLEAVNMPIVEQWKCPYHNGRMCLEIIKRVD</t>
  </si>
  <si>
    <t>EA174P,NA175F,QA371E</t>
  </si>
  <si>
    <t>MDITRFKEDLKAHLEEKIIPFWQSLKDDEFGGYYGYMDFNLNIDRKAQKGCILNSRILWFFSACYNVLKSEKCKEMAFHAFEFLKNKFWDKEYEGLFWSVSHKGVPVDVTKHVYVQAFGIYGLSEYYEASGDEEALHMAKRLFEILETKCKRENGYTEQFERNWQEKENRFLSPFGVIASKTMNTHLHVLESYTNLYRLLKLDDVYEALEWIVRLFVDKIYKKGTGHFKVFCDDNWNELIKAVSYGHDIEASWLLDQAAKYLKDEKLKEEVEKLALEVAQITLKEAFDGQSLINEMIEDRIDRSKIWWVEAETVVGFFNAYQKTKEEKYLDAAIKTWEFIKEHLVDRRKNSEWLWKVNEDLEAVNMPIVEEWKCPYHNGRMCLEIIKRVD</t>
  </si>
  <si>
    <t>EA174P,NA175D,VA177Q</t>
  </si>
  <si>
    <t>MDITRFKEDLKAHLEEKIIPFWQSLKDDEFGGYYGYMDFNLNIDRKAQKGCILNSRILWFFSACYNVLKSEKCKEMAFHAFEFLKNKFWDKEYEGLFWSVSHKGVPVDVTKHVYVQAFGIYGLSEYYEASGDEEALHMAKRLFEILETKCKRENGYTEQFERNWQEKENRFLSPDGQIASKTMNTHLHVLESYTNLYRLLKLDDVYEALEWIVRLFVDKIYKKGTGHFKVFCDDNWNELIKAVSYGHDIEASWLLDQAAKYLKDEKLKEEVEKLALEVAQITLKEAFDGQSLINEMIEDRIDRSKIWWVEAETVVGFFNAYQKTKEEKYLDAAIKTWEFIKEHLVDRRKNSEWLWKVNEDLEAVNMPIVEQWKCPYHNGRMCLEIIKRVD</t>
  </si>
  <si>
    <t>EA174P,VA177I,QA371P</t>
  </si>
  <si>
    <t>MDITRFKEDLKAHLEEKIIPFWQSLKDDEFGGYYGYMDFNLNIDRKAQKGCILNSRILWFFSACYNVLKSEKCKEMAFHAFEFLKNKFWDKEYEGLFWSVSHKGVPVDVTKHVYVQAFGIYGLSEYYEASGDEEALHMAKRLFEILETKCKRENGYTEQFERNWQEKENRFLSPNGIIASKTMNTHLHVLESYTNLYRLLKLDDVYEALEWIVRLFVDKIYKKGTGHFKVFCDDNWNELIKAVSYGHDIEASWLLDQAAKYLKDEKLKEEVEKLALEVAQITLKEAFDGQSLINEMIEDRIDRSKIWWVEAETVVGFFNAYQKTKEEKYLDAAIKTWEFIKEHLVDRRKNSEWLWKVNEDLEAVNMPIVEPWKCPYHNGRMCLEIIKRVD</t>
  </si>
  <si>
    <t>EA174P,KA356H,QA371E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</si>
  <si>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HVNEDLEAVNMPIVEEWKCPYHNGRMCLEIIKRVD</t>
  </si>
  <si>
    <t>EA174P,NA175D,GA176N,QA371E</t>
  </si>
  <si>
    <t>MDITRFKEDLKAHLEEKIIPFWQSLKDDEFGGYYGYMDFNLNIDRKAQKGCILNSRILWFFSACYNVLKSEKCKEMAFHAFEFLKNKFWDKEYEGLFWSVSHKGVPVDVTKHVYVQAFGIYGLSEYYEASGDEEALHMAKRLFEILETKCKRENGYTEQFERNWQEKENRFLSPDNVIASKTMNTHLHVLESYTNLYRLLKLDDVYEALEWIVRLFVDKIYKKGTGHFKVFCDDNWNELIKAVSYGHDIEASWLLDQAAKYLKDEKLKEEVEKLALEVAQITLKEAFDGQSLINEMIEDRIDRSKIWWVEAETVVGFFNAYQKTKEEKYLDAAIKTWEFIKEHLVDRRKNSEWLWKVNEDLEAVNMPIVEEWKCPYHNGRMCLEIIKRVD</t>
  </si>
  <si>
    <t>EA174P,NA175T,VA177I,QA371E</t>
  </si>
  <si>
    <t>MDITRFKEDLKAHLEEKIIPFWQSLKDDEFGGYYGYMDFNLNIDRKAQKGCILNSRILWFFSACYNVLKSEKCKEMAFHAFEFLKNKFWDKEYEGLFWSVSHKGVPVDVTKHVYVQAFGIYGLSEYYEASGDEEALHMAKRLFEILETKCKRENGYTEQFERNWQEKENRFLSPTGIIASKTMNTHLHVLESYTNLYRLLKLDDVYEALEWIVRLFVDKIYKKGTGHFKVFCDDNWNELIKAVSYGHDIEASWLLDQAAKYLKDEKLKEEVEKLALEVAQITLKEAFDGQSLINEMIEDRIDRSKIWWVEAETVVGFFNAYQKTKEEKYLDAAIKTWEFIKEHLVDRRKNSEWLWKVNEDLEAVNMPIVEEWKCPYHNGRMCLEIIKRVD</t>
  </si>
  <si>
    <t>EA174P,NA175T,VA177Q,QA371E</t>
  </si>
  <si>
    <t>MDITRFKEDLKAHLEEKIIPFWQSLKDDEFGGYYGYMDFNLNIDRKAQKGCILNSRILWFFSACYNVLKSEKCKEMAFHAFEFLKNKFWDKEYEGLFWSVSHKGVPVDVTKHVYVQAFGIYGLSEYYEASGDEEALHMAKRLFEILETKCKRENGYTEQFERNWQEKENRFLSPTGQIASKTMNTHLHVLESYTNLYRLLKLDDVYEALEWIVRLFVDKIYKKGTGHFKVFCDDNWNELIKAVSYGHDIEASWLLDQAAKYLKDEKLKEEVEKLALEVAQITLKEAFDGQSLINEMIEDRIDRSKIWWVEAETVVGFFNAYQKTKEEKYLDAAIKTWEFIKEHLVDRRKNSEWLWKVNEDLEAVNMPIVEEWKCPYHNGRMCLEIIKRVD</t>
  </si>
  <si>
    <t>EA174P,NA175D,VA177Q,QA371E</t>
  </si>
  <si>
    <t>MDITRFKEDLKAHLEEKIIPFWQSLKDDEFGGYYGYMDFNLNIDRKAQKGCILNSRILWFFSACYNVLKSEKCKEMAFHAFEFLKNKFWDKEYEGLFWSVSHKGVPVDVTKHVYVQAFGIYGLSEYYEASGDEEALHMAKRLFEILETKCKRENGYTEQFERNWQEKENRFLSPDGQIASKTMNTHLHVLESYTNLYRLLKLDDVYEALEWIVRLFVDKIYKKGTGHFKVFCDDNWNELIKAVSYGHDIEASWLLDQAAKYLKDEKLKEEVEKLALEVAQITLKEAFDGQSLINEMIEDRIDRSKIWWVEAETVVGFFNAYQKTKEEKYLDAAIKTWEFIKEHLVDRRKNSEWLWKVNEDLEAVNMPIVEEWKCPYHNGRMCLEIIKRVD</t>
  </si>
  <si>
    <t>EA174P,GA176D,VA177Q,QA371E</t>
  </si>
  <si>
    <t>MDITRFKEDLKAHLEEKIIPFWQSLKDDEFGGYYGYMDFNLNIDRKAQKGCILNSRILWFFSACYNVLKSEKCKEMAFHAFEFLKNKFWDKEYEGLFWSVSHKGVPVDVTKHVYVQAFGIYGLSEYYEASGDEEALHMAKRLFEILETKCKRENGYTEQFERNWQEKENRFLSPNDQIASKTMNTHLHVLESYTNLYRLLKLDDVYEALEWIVRLFVDKIYKKGTGHFKVFCDDNWNELIKAVSYGHDIEASWLLDQAAKYLKDEKLKEEVEKLALEVAQITLKEAFDGQSLINEMIEDRIDRSKIWWVEAETVVGFFNAYQKTKEEKYLDAAIKTWEFIKEHLVDRRKNSEWLWKVNEDLEAVNMPIVEEWKCPYHNGRMCLEIIKRVD</t>
  </si>
  <si>
    <t>EA174P,IA178L</t>
  </si>
  <si>
    <t>MDITRFKEDLKAHLEEKIIPFWQSLKDDEFGGYYGYMDFNLNIDRKAQKGCILNSRILWFFSACYNVLKSEKCKEMAFHAFEFLKNKFWDKEYEGLFWSVSHKGVPVDVTKHVYVQAFGIYGLSEYYEASGDEEALHMAKRLFEILETKCKRENGYTEQFERNWQEKENRFLSPNGVLASKTMNTHLHVLESYTNLYRLLKLDDVYEALEWIVRLFVDKIYKKGTGHFKVFCDDNWNELIKAVSYGHDIEASWLLDQAAKYLKDEKLKEEVEKLALEVAQITLKEAFDGQSLINEMIEDRIDRSKIWWVEAETVVGFFNAYQKTKEEKYLDAAIKTWEFIKEHLVDRRKNSEWLWKVNEDLEAVNMPIVEQWKCPYHNGRMCLEIIKRVD</t>
  </si>
  <si>
    <t>EA174P,NA175T</t>
  </si>
  <si>
    <t>MDITRFKEDLKAHLEEKIIPFWQSLKDDEFGGYYGYMDFNLNIDRKAQKGCILNSRILWFFSACYNVLKSEKCKEMAFHAFEFLKNKFWDKEYEGLFWSVSHKGVPVDVTKHVYVQAFGIYGLSEYYEASGDEEALHMAKRLFEILETKCKRENGYTEQFERNWQEKENRFLSPTGVIASKTMNTHLHVLESYTNLYRLLKLDDVYEALEWIVRLFVDKIYKKGTGHFKVFCDDNWNELIKAVSYGHDIEASWLLDQAAKYLKDEKLKEEVEKLALEVAQITLKEAFDGQSLINEMIEDRIDRSKIWWVEAETVVGFFNAYQKTKEEKYLDAAIKTWEFIKEHLVDRRKNSEWLWKVNEDLEAVNMPIVEQWKCPYHNGRMCLEIIKRVD</t>
  </si>
  <si>
    <t>EA174P,KA356Y,QA371E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</si>
  <si>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YVNEDLEAVNMPIVEEWKCPYHNGRMCLEIIKRVD</t>
  </si>
  <si>
    <t>EA174P,NA175Y,QA371S</t>
  </si>
  <si>
    <t>MDITRFKEDLKAHLEEKIIPFWQSLKDDEFGGYYGYMDFNLNIDRKAQKGCILNSRILWFFSACYNVLKSEKCKEMAFHAFEFLKNKFWDKEYEGLFWSVSHKGVPVDVTKHVYVQAFGIYGLSEYYEASGDEEALHMAKRLFEILETKCKRENGYTEQFERNWQEKENRFLSPYGVIASKTMNTHLHVLESYTNLYRLLKLDDVYEALEWIVRLFVDKIYKKGTGHFKVFCDDNWNELIKAVSYGHDIEASWLLDQAAKYLKDEKLKEEVEKLALEVAQITLKEAFDGQSLINEMIEDRIDRSKIWWVEAETVVGFFNAYQKTKEEKYLDAAIKTWEFIKEHLVDRRKNSEWLWKVNEDLEAVNMPIVESWKCPYHNGRMCLEIIKRVD</t>
  </si>
  <si>
    <t>EA174S,NA175D,QA371E</t>
  </si>
  <si>
    <t>MDITRFKEDLKAHLEEKIIPFWQSLKDDEFGGYYGYMDFNLNIDRKAQKGCILNSRILWFFSACYNVLKSEKCKEMAFHAFEFLKNKFWDKEYEGLFWSVSHKGVPVDVTKHVYVQAFGIYGLSEYYEASGDEEALHMAKRLFEILETKCKRENGYTEQFERNWQEKENRFLSSDGVIASKTMNTHLHVLESYTNLYRLLKLDDVYEALEWIVRLFVDKIYKKGTGHFKVFCDDNWNELIKAVSYGHDIEASWLLDQAAKYLKDEKLKEEVEKLALEVAQITLKEAFDGQSLINEMIEDRIDRSKIWWVEAETVVGFFNAYQKTKEEKYLDAAIKTWEFIKEHLVDRRKNSEWLWKVNEDLEAVNMPIVEEWKCPYHNGRMCLEIIKRVD</t>
  </si>
  <si>
    <t>EA174P,KA356M,LA361G,QA371E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</si>
  <si>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MVNEDGEAVNMPIVEEWKCPYHNGRMCLEIIKRVD</t>
  </si>
  <si>
    <t>EA174P,KA356Q,NA358D,EA362K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</si>
  <si>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DLKAVNMPIVEQWKCPYHNGRMCLEIIKRVD</t>
  </si>
  <si>
    <t>EA174P,KA356G,LA361G,AA363P,QA371E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</si>
  <si>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GVNEDGEPVNMPIVEEWKCPYHNGRMCLEIIKRVD</t>
  </si>
  <si>
    <t>EA174P,KA356S,LA361G,AA363P,QA371E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</si>
  <si>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SVNEDGEPVNMPIVEEWKCPYHNGRMCLEIIKRVD</t>
  </si>
  <si>
    <t>EA174P,NA358D,DA360S,EA362N,QA371E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</si>
  <si>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SLNAVNMPIVEEWKCPYHNGRMCLEIIKRVD</t>
  </si>
  <si>
    <t>EA174P,KA356Q,NA358D,DA360R,EA362N,QA371E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</si>
  <si>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RLNAVNMPIVEEWKCPYHNGRMCLEIIKRVD</t>
  </si>
  <si>
    <t>EA174P,KA356Q,NA358D,DA360N,LA361Y,EA362N,QA371E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</si>
  <si>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NYNAVNMPIVEEWKCPYHNGRMCLEIIKRVD</t>
  </si>
  <si>
    <t>EA174P,NA175D</t>
  </si>
  <si>
    <t>MDITRFKEDLKAHLEEKIIPFWQSLKDDEFGGYYGYMDFNLNIDRKAQKGCILNSRILWFFSACYNVLKSEKCKEMAFHAFEFLKNKFWDKEYEGLFWSVSHKGVPVDVTKHVYVQAFGIYGLSEYYEASGDEEALHMAKRLFEILETKCKRENGYTEQFERNWQEKENRFLSPDGVIASKTMNTHLHVLESYTNLYRLLKLDDVYEALEWIVRLFVDKIYKKGTGHFKVFCDDNWNELIKAVSYGHDIEASWLLDQAAKYLKDEKLKEEVEKLALEVAQITLKEAFDGQSLINEMIEDRIDRSKIWWVEAETVVGFFNAYQKTKEEKYLDAAIKTWEFIKEHLVDRRKNSEWLWKVNEDLEAVNMPIVEQWKCPYHNGRMCLEIIKRVD</t>
  </si>
  <si>
    <t>EA174P,VA177I,IA178M,QA371E</t>
  </si>
  <si>
    <t>MDITRFKEDLKAHLEEKIIPFWQSLKDDEFGGYYGYMDFNLNIDRKAQKGCILNSRILWFFSACYNVLKSEKCKEMAFHAFEFLKNKFWDKEYEGLFWSVSHKGVPVDVTKHVYVQAFGIYGLSEYYEASGDEEALHMAKRLFEILETKCKRENGYTEQFERNWQEKENRFLSPNGIMASKTMNTHLHVLESYTNLYRLLKLDDVYEALEWIVRLFVDKIYKKGTGHFKVFCDDNWNELIKAVSYGHDIEASWLLDQAAKYLKDEKLKEEVEKLALEVAQITLKEAFDGQSLINEMIEDRIDRSKIWWVEAETVVGFFNAYQKTKEEKYLDAAIKTWEFIKEHLVDRRKNSEWLWKVNEDLEAVNMPIVEEWKCPYHNGRMCLEIIKRVD</t>
  </si>
  <si>
    <t>EA174P,KA356Y,LA361K,QA371E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</si>
  <si>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YVNEDKEAVNMPIVEEWKCPYHNGRMCLEIIKRVD</t>
  </si>
  <si>
    <t>EA174P,KA356Q,NA358D,DA360Q,EA362N,QA371E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</si>
  <si>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QVDEQLNAVNMPIVEEWKCPYHNGRMCLEIIKRVD</t>
  </si>
  <si>
    <t>EA174D,QA371E</t>
  </si>
  <si>
    <t>MDITRFKEDLKAHLEEKIIPFWQSLKDDEFGGYYGYMDFNLNIDRKAQKGCILNSRILWFFSACYNVLKSEKCKEMAFHAFEFLKNKFWDKEYEGLFWSVSHKGVPVDVTKHVYVQAFGIYGLSEYYEASGDEEALHMAKRLFEILETKCKRENGYTEQFERNWQEKENRFLSDNGVIASKTMNTHLHVLESYTNLYRLLKLDDVYEALEWIVRLFVDKIYKKGTGHFKVFCDDNWNELIKAVSYGHDIEASWLLDQAAKYLKDEKLKEEVEKLALEVAQITLKEAFDGQSLINEMIEDRIDRSKIWWVEAETVVGFFNAYQKTKEEKYLDAAIKTWEFIKEHLVDRRKNSEWLWKVNEDLEAVNMPIVEEWKCPYHNGRMCLEIIKRVD</t>
  </si>
  <si>
    <t>EA174S,NA175M,QA371E</t>
  </si>
  <si>
    <t>MDITRFKEDLKAHLEEKIIPFWQSLKDDEFGGYYGYMDFNLNIDRKAQKGCILNSRILWFFSACYNVLKSEKCKEMAFHAFEFLKNKFWDKEYEGLFWSVSHKGVPVDVTKHVYVQAFGIYGLSEYYEASGDEEALHMAKRLFEILETKCKRENGYTEQFERNWQEKENRFLSSMGVIASKTMNTHLHVLESYTNLYRLLKLDDVYEALEWIVRLFVDKIYKKGTGHFKVFCDDNWNELIKAVSYGHDIEASWLLDQAAKYLKDEKLKEEVEKLALEVAQITLKEAFDGQSLINEMIEDRIDRSKIWWVEAETVVGFFNAYQKTKEEKYLDAAIKTWEFIKEHLVDRRKNSEWLWKVNEDLEAVNMPIVEEWKCPYHNGRMCLEIIKRVD</t>
  </si>
  <si>
    <t>EA174P,NA175Y,QA371P</t>
  </si>
  <si>
    <t>MDITRFKEDLKAHLEEKIIPFWQSLKDDEFGGYYGYMDFNLNIDRKAQKGCILNSRILWFFSACYNVLKSEKCKEMAFHAFEFLKNKFWDKEYEGLFWSVSHKGVPVDVTKHVYVQAFGIYGLSEYYEASGDEEALHMAKRLFEILETKCKRENGYTEQFERNWQEKENRFLSPYGVIASKTMNTHLHVLESYTNLYRLLKLDDVYEALEWIVRLFVDKIYKKGTGHFKVFCDDNWNELIKAVSYGHDIEASWLLDQAAKYLKDEKLKEEVEKLALEVAQITLKEAFDGQSLINEMIEDRIDRSKIWWVEAETVVGFFNAYQKTKEEKYLDAAIKTWEFIKEHLVDRRKNSEWLWKVNEDLEAVNMPIVEPWKCPYHNGRMCLEIIKRVD</t>
  </si>
  <si>
    <t>EA174P,NA175D,VA177M,QA371E</t>
  </si>
  <si>
    <t>MDITRFKEDLKAHLEEKIIPFWQSLKDDEFGGYYGYMDFNLNIDRKAQKGCILNSRILWFFSACYNVLKSEKCKEMAFHAFEFLKNKFWDKEYEGLFWSVSHKGVPVDVTKHVYVQAFGIYGLSEYYEASGDEEALHMAKRLFEILETKCKRENGYTEQFERNWQEKENRFLSPDGMIASKTMNTHLHVLESYTNLYRLLKLDDVYEALEWIVRLFVDKIYKKGTGHFKVFCDDNWNELIKAVSYGHDIEASWLLDQAAKYLKDEKLKEEVEKLALEVAQITLKEAFDGQSLINEMIEDRIDRSKIWWVEAETVVGFFNAYQKTKEEKYLDAAIKTWEFIKEHLVDRRKNSEWLWKVNEDLEAVNMPIVEEWKCPYHNGRMCLEIIKRVD</t>
  </si>
  <si>
    <t>EA174P,NA175D,IA178F,QA371E</t>
  </si>
  <si>
    <t>MDITRFKEDLKAHLEEKIIPFWQSLKDDEFGGYYGYMDFNLNIDRKAQKGCILNSRILWFFSACYNVLKSEKCKEMAFHAFEFLKNKFWDKEYEGLFWSVSHKGVPVDVTKHVYVQAFGIYGLSEYYEASGDEEALHMAKRLFEILETKCKRENGYTEQFERNWQEKENRFLSPDGVFASKTMNTHLHVLESYTNLYRLLKLDDVYEALEWIVRLFVDKIYKKGTGHFKVFCDDNWNELIKAVSYGHDIEASWLLDQAAKYLKDEKLKEEVEKLALEVAQITLKEAFDGQSLINEMIEDRIDRSKIWWVEAETVVGFFNAYQKTKEEKYLDAAIKTWEFIKEHLVDRRKNSEWLWKVNEDLEAVNMPIVEEWKCPYHNGRMCLEIIKRVD</t>
  </si>
  <si>
    <t>EA174P,KA356S,LA361G,QA371E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</si>
  <si>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SVNEDGEAVNMPIVEEWKCPYHNGRMCLEIIKRVD</t>
  </si>
  <si>
    <t>EA174P,KA356E,LA361G,QA371E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</si>
  <si>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EVNEDGEAVNMPIVEEWKCPYHNGRMCLEIIKRVD</t>
  </si>
  <si>
    <t>EA174P,KA356R,NA358D,EA362N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</si>
  <si>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RVDEDLNAVNMPIVEQWKCPYHNGRMCLEIIKRVD</t>
  </si>
  <si>
    <t>EA174P,NA358D,DA360E,EA362K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</si>
  <si>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ELKAVNMPIVEQWKCPYHNGRMCLEIIKRVD</t>
  </si>
  <si>
    <t>EA174P,IA178F,QA371P</t>
  </si>
  <si>
    <t>MDITRFKEDLKAHLEEKIIPFWQSLKDDEFGGYYGYMDFNLNIDRKAQKGCILNSRILWFFSACYNVLKSEKCKEMAFHAFEFLKNKFWDKEYEGLFWSVSHKGVPVDVTKHVYVQAFGIYGLSEYYEASGDEEALHMAKRLFEILETKCKRENGYTEQFERNWQEKENRFLSPNGVFASKTMNTHLHVLESYTNLYRLLKLDDVYEALEWIVRLFVDKIYKKGTGHFKVFCDDNWNELIKAVSYGHDIEASWLLDQAAKYLKDEKLKEEVEKLALEVAQITLKEAFDGQSLINEMIEDRIDRSKIWWVEAETVVGFFNAYQKTKEEKYLDAAIKTWEFIKEHLVDRRKNSEWLWKVNEDLEAVNMPIVEPWKCPYHNGRMCLEIIKRVD</t>
  </si>
  <si>
    <t>EA174P,KA356G,LA361N,AA363P,QA371E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</si>
  <si>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GVNEDNEPVNMPIVEEWKCPYHNGRMCLEIIKRVD</t>
  </si>
  <si>
    <t>EA174P,NA358D,DA360E,LA361N,EA362K</t>
  </si>
  <si>
    <t>MDITRFKEDLKAHLEEKIIPFWQSLKDDEFGGYYGYMDFNLNIDRKAQKGCILNSRILWFFSACYNVLKSEKCKEMAFHAFEFLKNKFWDKEYEGLFWSVSHKGVPVDVTKHVYVQAFGIYGLSEYYEASGDEEALHMAKRLFEILETKCKRENGYTEQFERNWQEKENRFLSPNGVIASKTMNTHLHVLESYTNLYRLLKLDDVYEALEWIVRLFVDKIYKKGTGHFKVFCDDNWNELIKAVSYGHDIEASWLLDQAAKYLKDEKLKEEVEKLALEVAQITLKEAFDGQSLINEMIEDRIDRSKIWWVEAETVVGFFNAYQKTKEEKYLDAAIKTWEFIKEHLVDRRKNSEWLWKVDEENKAVNMPIVEQWKCPYHNGRMCLEIIKRVD</t>
  </si>
  <si>
    <t>IA178P,NA358D,DA360Q,EA362N,QA371F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</si>
  <si>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KVDEQLNAVNMPIVEFWKCPYHNGRMCLEIIKRVD</t>
  </si>
  <si>
    <t>IA178P,KA356A,NA358D,DA360N,LA361N,EA362N,QA371F</t>
  </si>
  <si>
    <t>MDITRFKEDLKAHLEEKIIPFWQSLKDDEFGGYYGYMDFNLNIDRKAQKGCILNSRILWFFSACYNVLKSEKCKEMAFHAFEFLKNKFWDKEYEGLFWSVSHKGVPVDVTKHVYVQAFGIYGLSEYYEASGDEEALHMAKRLFEILETKCKRENGYTEQFERNWQEKENRFLSENGVPASKTMNTHLHVLESYTNLYRLLKLDDVYEALEWIVRLFVDKIYKKGTGHFKVFCDDNWNELIKAVSYGHDIEASWLLDQAAKYLKDEKLKEEVEKLALEVAQITLKEAFDGQSLINEMIEDRIDRSKIWWVEAETVVGFFNAYQKTKEEKYLDAAIKTWEFIKEHLVDRRKNSEWLWAVDENNNAVNMPIVEFWKCPYHNGRMCLEIIKRVD</t>
  </si>
  <si>
    <t>IA178P,QA371F,KA356Q,LA361R,EA362K,NA358D,DA360N</t>
  </si>
  <si>
    <t>IA178P,QA371F,NA358D,LA361N,EA362N,KA356A,DA360N</t>
  </si>
  <si>
    <t>Note: The green background indicates the hit variants.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</si>
</sst>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right" vertical="center" wrapText="1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right" vertical="center" wrapText="1"/>
    </xf>
    <xf numFmtId="176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/>
    <xf numFmtId="0" fontId="1" fillId="0" borderId="0" xfId="0" applyFont="1" applyAlignment="1"/>
    <xf numFmtId="58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4205-F2C6-486C-B4A4-22AA3141FE6D}">
  <dimension ref="A1:M76"/>
  <sheetViews>
    <sheetView tabSelected="1" workbookViewId="0">
      <selection activeCell="B79" sqref="B79"/>
    </sheetView>
  </sheetViews>
  <sheetFormatPr defaultColWidth="9" defaultRowHeight="15.5" x14ac:dyDescent="0.25"/>
  <cols>
    <col min="1" max="1" width="10.26953125" style="2" customWidth="1"/>
    <col min="2" max="2" width="64.36328125" style="21" customWidth="1"/>
    <col min="3" max="3" width="19.54296875" style="2" customWidth="1"/>
    <col min="4" max="4" width="12.26953125" style="14" customWidth="1"/>
    <col min="5" max="5" width="12.1796875" style="14" customWidth="1"/>
    <col min="6" max="6" width="11.81640625" style="14" customWidth="1"/>
    <col min="7" max="7" width="9" style="14"/>
    <col min="8" max="8" width="13" style="17" customWidth="1"/>
    <col min="9" max="15" width="9" style="2"/>
    <col min="16" max="16" width="68.90625" style="2" customWidth="1"/>
    <col min="17" max="16384" width="9" style="2"/>
  </cols>
  <sheetData>
    <row r="1" spans="1:13" ht="32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3" s="8" customFormat="1" ht="30" x14ac:dyDescent="0.25">
      <c r="A2" s="3"/>
      <c r="B2" s="4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</row>
    <row r="3" spans="1:13" x14ac:dyDescent="0.25">
      <c r="A3" s="9">
        <v>45501</v>
      </c>
      <c r="B3" s="10" t="s">
        <v>8</v>
      </c>
      <c r="C3" s="11" t="s">
        <v>9</v>
      </c>
      <c r="D3" s="12">
        <v>1827.4483238919299</v>
      </c>
      <c r="E3" s="12">
        <v>1762.36112331496</v>
      </c>
      <c r="F3" s="12">
        <v>1794.9047236034501</v>
      </c>
      <c r="G3" s="12">
        <v>46.0236008964268</v>
      </c>
      <c r="H3" s="12">
        <f t="shared" ref="H3:H12" si="0">F3/$F$13*$H$13</f>
        <v>1965.1703685888203</v>
      </c>
      <c r="I3" s="13"/>
      <c r="J3" s="13"/>
      <c r="K3" s="13"/>
      <c r="L3" s="13"/>
      <c r="M3" s="13"/>
    </row>
    <row r="4" spans="1:13" x14ac:dyDescent="0.25">
      <c r="B4" s="10" t="s">
        <v>10</v>
      </c>
      <c r="C4" s="11" t="s">
        <v>11</v>
      </c>
      <c r="D4" s="12">
        <v>1742.3342923682001</v>
      </c>
      <c r="E4" s="12">
        <v>1652.2135531077799</v>
      </c>
      <c r="F4" s="12">
        <v>1697.27392273799</v>
      </c>
      <c r="G4" s="12">
        <v>63.724985856590997</v>
      </c>
      <c r="H4" s="12">
        <f t="shared" si="0"/>
        <v>1858.2782564898464</v>
      </c>
    </row>
    <row r="5" spans="1:13" x14ac:dyDescent="0.25">
      <c r="B5" s="10" t="s">
        <v>12</v>
      </c>
      <c r="C5" s="11" t="s">
        <v>13</v>
      </c>
      <c r="D5" s="12">
        <v>1592.13306026749</v>
      </c>
      <c r="E5" s="12">
        <v>1602.1464757408701</v>
      </c>
      <c r="F5" s="12">
        <v>1597.13976800418</v>
      </c>
      <c r="G5" s="12">
        <v>7.0805539840659897</v>
      </c>
      <c r="H5" s="12">
        <f t="shared" si="0"/>
        <v>1748.6453210037139</v>
      </c>
    </row>
    <row r="6" spans="1:13" x14ac:dyDescent="0.25">
      <c r="B6" s="10" t="s">
        <v>14</v>
      </c>
      <c r="C6" s="11" t="s">
        <v>15</v>
      </c>
      <c r="D6" s="12">
        <v>1391.8647507998801</v>
      </c>
      <c r="E6" s="12">
        <v>1522.03915195383</v>
      </c>
      <c r="F6" s="12">
        <v>1456.9519513768601</v>
      </c>
      <c r="G6" s="12">
        <v>92.047201792853201</v>
      </c>
      <c r="H6" s="12">
        <f t="shared" si="0"/>
        <v>1595.1592113231441</v>
      </c>
    </row>
    <row r="7" spans="1:13" x14ac:dyDescent="0.25">
      <c r="B7" s="10" t="s">
        <v>16</v>
      </c>
      <c r="C7" s="11" t="s">
        <v>17</v>
      </c>
      <c r="D7" s="12">
        <v>1802.41478520848</v>
      </c>
      <c r="E7" s="12">
        <v>1777.3812465250301</v>
      </c>
      <c r="F7" s="12">
        <v>1789.89801586676</v>
      </c>
      <c r="G7" s="12">
        <v>17.701384960163999</v>
      </c>
      <c r="H7" s="12">
        <f t="shared" si="0"/>
        <v>1959.6887218145143</v>
      </c>
    </row>
    <row r="8" spans="1:13" x14ac:dyDescent="0.25">
      <c r="B8" s="10" t="s">
        <v>18</v>
      </c>
      <c r="C8" s="11" t="s">
        <v>19</v>
      </c>
      <c r="D8" s="12">
        <v>2122.84408035666</v>
      </c>
      <c r="E8" s="12">
        <v>2253.0184815105999</v>
      </c>
      <c r="F8" s="12">
        <v>2187.9312809336302</v>
      </c>
      <c r="G8" s="12">
        <v>92.0472017928534</v>
      </c>
      <c r="H8" s="12">
        <f t="shared" si="0"/>
        <v>2395.4796403718638</v>
      </c>
    </row>
    <row r="9" spans="1:13" x14ac:dyDescent="0.25">
      <c r="B9" s="10" t="s">
        <v>20</v>
      </c>
      <c r="C9" s="11" t="s">
        <v>21</v>
      </c>
      <c r="D9" s="12">
        <v>2483.3270373983501</v>
      </c>
      <c r="E9" s="12">
        <v>2348.1459285077199</v>
      </c>
      <c r="F9" s="12">
        <v>2415.7364829530402</v>
      </c>
      <c r="G9" s="12">
        <v>95.587478784885505</v>
      </c>
      <c r="H9" s="12">
        <f t="shared" si="0"/>
        <v>2644.8945686028064</v>
      </c>
    </row>
    <row r="10" spans="1:13" x14ac:dyDescent="0.25">
      <c r="B10" s="10" t="s">
        <v>22</v>
      </c>
      <c r="C10" s="11" t="s">
        <v>23</v>
      </c>
      <c r="D10" s="12">
        <v>1737.32758463151</v>
      </c>
      <c r="E10" s="12">
        <v>1882.5221089955301</v>
      </c>
      <c r="F10" s="12">
        <v>1809.9248468135199</v>
      </c>
      <c r="G10" s="12">
        <v>102.668032768952</v>
      </c>
      <c r="H10" s="12">
        <f t="shared" si="0"/>
        <v>1981.6153089117386</v>
      </c>
    </row>
    <row r="11" spans="1:13" x14ac:dyDescent="0.25">
      <c r="B11" s="10" t="s">
        <v>24</v>
      </c>
      <c r="C11" s="11" t="s">
        <v>25</v>
      </c>
      <c r="D11" s="12">
        <v>2283.0587279307501</v>
      </c>
      <c r="E11" s="12">
        <v>2303.0855588775098</v>
      </c>
      <c r="F11" s="12">
        <v>2293.0721434041302</v>
      </c>
      <c r="G11" s="12">
        <v>14.161107968131001</v>
      </c>
      <c r="H11" s="12">
        <f t="shared" si="0"/>
        <v>2510.5942226323023</v>
      </c>
    </row>
    <row r="12" spans="1:13" x14ac:dyDescent="0.25">
      <c r="B12" s="2" t="s">
        <v>26</v>
      </c>
      <c r="C12" s="2" t="s">
        <v>27</v>
      </c>
      <c r="D12" s="14">
        <v>715.95920634670301</v>
      </c>
      <c r="E12" s="14">
        <v>745.99945276684502</v>
      </c>
      <c r="F12" s="14">
        <v>730.97932955677402</v>
      </c>
      <c r="G12" s="14">
        <v>21.241661952196999</v>
      </c>
      <c r="H12" s="15">
        <f t="shared" si="0"/>
        <v>800.32042904872401</v>
      </c>
    </row>
    <row r="13" spans="1:13" x14ac:dyDescent="0.35">
      <c r="B13" s="2" t="s">
        <v>28</v>
      </c>
      <c r="C13" s="2" t="s">
        <v>29</v>
      </c>
      <c r="D13" s="14">
        <v>1261.6903496459399</v>
      </c>
      <c r="E13" s="14">
        <v>1251.6769341725601</v>
      </c>
      <c r="F13" s="14">
        <v>1256.6836419092499</v>
      </c>
      <c r="G13" s="14">
        <v>7.0805539840655101</v>
      </c>
      <c r="H13" s="16">
        <v>1375.89334035089</v>
      </c>
    </row>
    <row r="15" spans="1:13" x14ac:dyDescent="0.25">
      <c r="A15" s="9">
        <v>45505</v>
      </c>
      <c r="B15" s="10" t="s">
        <v>30</v>
      </c>
      <c r="C15" s="11" t="s">
        <v>31</v>
      </c>
      <c r="D15" s="12">
        <v>1232.0403021081099</v>
      </c>
      <c r="E15" s="12">
        <v>1276.393752984</v>
      </c>
      <c r="F15" s="12">
        <v>1254.2170275460601</v>
      </c>
      <c r="G15" s="12">
        <v>31.3626258833674</v>
      </c>
      <c r="H15" s="12">
        <f>F15/$F$19*$H$19</f>
        <v>1406.2845587120557</v>
      </c>
    </row>
    <row r="16" spans="1:13" x14ac:dyDescent="0.25">
      <c r="B16" s="2" t="s">
        <v>32</v>
      </c>
      <c r="C16" s="2" t="s">
        <v>33</v>
      </c>
      <c r="D16" s="14">
        <v>1044.7701761876799</v>
      </c>
      <c r="E16" s="14">
        <v>1163.0460451900601</v>
      </c>
      <c r="F16" s="14">
        <v>1103.90811068887</v>
      </c>
      <c r="G16" s="14">
        <v>83.633669022313697</v>
      </c>
      <c r="H16" s="17">
        <f t="shared" ref="H16:H18" si="1">F16/$F$19*$H$19</f>
        <v>1237.7514387092356</v>
      </c>
    </row>
    <row r="17" spans="1:8" x14ac:dyDescent="0.25">
      <c r="B17" s="2" t="s">
        <v>34</v>
      </c>
      <c r="C17" s="2" t="s">
        <v>35</v>
      </c>
      <c r="D17" s="14">
        <v>931.42246839373104</v>
      </c>
      <c r="E17" s="14">
        <v>1015.20120893708</v>
      </c>
      <c r="F17" s="14">
        <v>973.31183866540698</v>
      </c>
      <c r="G17" s="14">
        <v>59.2405155574722</v>
      </c>
      <c r="H17" s="17">
        <f t="shared" si="1"/>
        <v>1091.3210229690771</v>
      </c>
    </row>
    <row r="18" spans="1:8" x14ac:dyDescent="0.25">
      <c r="B18" s="10" t="s">
        <v>36</v>
      </c>
      <c r="C18" s="11" t="s">
        <v>37</v>
      </c>
      <c r="D18" s="12">
        <v>1631.2213599911399</v>
      </c>
      <c r="E18" s="12">
        <v>1705.1437781176201</v>
      </c>
      <c r="F18" s="12">
        <v>1668.1825690543801</v>
      </c>
      <c r="G18" s="12">
        <v>52.271043138946602</v>
      </c>
      <c r="H18" s="12">
        <f t="shared" si="1"/>
        <v>1870.4413482280122</v>
      </c>
    </row>
    <row r="19" spans="1:8" x14ac:dyDescent="0.35">
      <c r="B19" s="2" t="s">
        <v>28</v>
      </c>
      <c r="C19" s="2" t="s">
        <v>29</v>
      </c>
      <c r="D19" s="14">
        <v>1118.69259431416</v>
      </c>
      <c r="E19" s="14">
        <v>1335.5316874851901</v>
      </c>
      <c r="F19" s="14">
        <v>1227.1121408996801</v>
      </c>
      <c r="G19" s="14">
        <v>153.328393207575</v>
      </c>
      <c r="H19" s="16">
        <v>1375.89334035089</v>
      </c>
    </row>
    <row r="21" spans="1:8" x14ac:dyDescent="0.25">
      <c r="A21" s="9">
        <v>45508</v>
      </c>
      <c r="B21" s="10" t="s">
        <v>38</v>
      </c>
      <c r="C21" s="11" t="s">
        <v>39</v>
      </c>
      <c r="D21" s="12">
        <v>1538.92729327811</v>
      </c>
      <c r="E21" s="12">
        <v>1656.1303652827401</v>
      </c>
      <c r="F21" s="12">
        <v>1597.52882928043</v>
      </c>
      <c r="G21" s="12">
        <v>82.875086990365205</v>
      </c>
      <c r="H21" s="12">
        <f t="shared" ref="H21:H32" si="2">F21/$F$33*$H$33</f>
        <v>1704.9113130434982</v>
      </c>
    </row>
    <row r="22" spans="1:8" x14ac:dyDescent="0.25">
      <c r="B22" s="10" t="s">
        <v>40</v>
      </c>
      <c r="C22" s="11" t="s">
        <v>41</v>
      </c>
      <c r="D22" s="12">
        <v>1416.62843553416</v>
      </c>
      <c r="E22" s="12">
        <v>1330.0000779655199</v>
      </c>
      <c r="F22" s="12">
        <v>1373.3142567498401</v>
      </c>
      <c r="G22" s="12">
        <v>61.255499079835097</v>
      </c>
      <c r="H22" s="12">
        <f t="shared" si="2"/>
        <v>1465.6255147216002</v>
      </c>
    </row>
    <row r="23" spans="1:8" x14ac:dyDescent="0.25">
      <c r="B23" s="10" t="s">
        <v>42</v>
      </c>
      <c r="C23" s="11" t="s">
        <v>43</v>
      </c>
      <c r="D23" s="12">
        <v>1268.8506490935399</v>
      </c>
      <c r="E23" s="12">
        <v>1477.77786440614</v>
      </c>
      <c r="F23" s="12">
        <v>1373.3142567498401</v>
      </c>
      <c r="G23" s="12">
        <v>147.733850721956</v>
      </c>
      <c r="H23" s="12">
        <f t="shared" si="2"/>
        <v>1465.6255147216002</v>
      </c>
    </row>
    <row r="24" spans="1:8" x14ac:dyDescent="0.25">
      <c r="B24" s="2" t="s">
        <v>44</v>
      </c>
      <c r="C24" s="2" t="s">
        <v>45</v>
      </c>
      <c r="D24" s="14">
        <v>682.83528907042103</v>
      </c>
      <c r="E24" s="14">
        <v>871.37936142568697</v>
      </c>
      <c r="F24" s="14">
        <v>777.10732524805405</v>
      </c>
      <c r="G24" s="14">
        <v>133.32079211493601</v>
      </c>
      <c r="H24" s="17">
        <f t="shared" si="2"/>
        <v>829.34282372929135</v>
      </c>
    </row>
    <row r="25" spans="1:8" x14ac:dyDescent="0.25">
      <c r="B25" s="2" t="s">
        <v>46</v>
      </c>
      <c r="C25" s="2" t="s">
        <v>47</v>
      </c>
      <c r="D25" s="14">
        <v>968.19929047298501</v>
      </c>
      <c r="E25" s="14">
        <v>1177.1265057855801</v>
      </c>
      <c r="F25" s="14">
        <v>1072.6628981292799</v>
      </c>
      <c r="G25" s="14">
        <v>147.73385072195501</v>
      </c>
      <c r="H25" s="17">
        <f t="shared" si="2"/>
        <v>1144.7650124263319</v>
      </c>
    </row>
    <row r="26" spans="1:8" x14ac:dyDescent="0.25">
      <c r="B26" s="10" t="s">
        <v>48</v>
      </c>
      <c r="C26" s="11" t="s">
        <v>49</v>
      </c>
      <c r="D26" s="12">
        <v>2196.2836536518798</v>
      </c>
      <c r="E26" s="12">
        <v>2298.1993684385102</v>
      </c>
      <c r="F26" s="12">
        <v>2247.2415110451898</v>
      </c>
      <c r="G26" s="12">
        <v>72.065293035100098</v>
      </c>
      <c r="H26" s="12">
        <f t="shared" si="2"/>
        <v>2398.296296817161</v>
      </c>
    </row>
    <row r="27" spans="1:8" x14ac:dyDescent="0.25">
      <c r="B27" s="10" t="s">
        <v>50</v>
      </c>
      <c r="C27" s="11" t="s">
        <v>51</v>
      </c>
      <c r="D27" s="12">
        <v>1758.04608006937</v>
      </c>
      <c r="E27" s="12">
        <v>1839.5786518986699</v>
      </c>
      <c r="F27" s="12">
        <v>1798.8123659840201</v>
      </c>
      <c r="G27" s="12">
        <v>57.652234428080298</v>
      </c>
      <c r="H27" s="12">
        <f t="shared" si="2"/>
        <v>1919.7247001733758</v>
      </c>
    </row>
    <row r="28" spans="1:8" x14ac:dyDescent="0.25">
      <c r="B28" s="2" t="s">
        <v>52</v>
      </c>
      <c r="C28" s="2" t="s">
        <v>53</v>
      </c>
      <c r="D28" s="14">
        <v>1197.5096487429</v>
      </c>
      <c r="E28" s="14">
        <v>1279.04222057221</v>
      </c>
      <c r="F28" s="14">
        <v>1238.2759346575599</v>
      </c>
      <c r="G28" s="14">
        <v>57.65223442808</v>
      </c>
      <c r="H28" s="17">
        <f t="shared" si="2"/>
        <v>1321.5102043686466</v>
      </c>
    </row>
    <row r="29" spans="1:8" x14ac:dyDescent="0.25">
      <c r="B29" s="2" t="s">
        <v>54</v>
      </c>
      <c r="C29" s="2" t="s">
        <v>55</v>
      </c>
      <c r="D29" s="14">
        <v>927.43300455833298</v>
      </c>
      <c r="E29" s="14">
        <v>1034.4445050843001</v>
      </c>
      <c r="F29" s="14">
        <v>980.93875482131398</v>
      </c>
      <c r="G29" s="14">
        <v>75.668557686855394</v>
      </c>
      <c r="H29" s="17">
        <f t="shared" si="2"/>
        <v>1046.8753676582855</v>
      </c>
    </row>
    <row r="30" spans="1:8" x14ac:dyDescent="0.25">
      <c r="B30" s="10" t="s">
        <v>56</v>
      </c>
      <c r="C30" s="11" t="s">
        <v>57</v>
      </c>
      <c r="D30" s="12">
        <v>1523.6399360601199</v>
      </c>
      <c r="E30" s="12">
        <v>1605.1725078894201</v>
      </c>
      <c r="F30" s="12">
        <v>1564.40622197477</v>
      </c>
      <c r="G30" s="12">
        <v>57.652234428080497</v>
      </c>
      <c r="H30" s="12">
        <f t="shared" si="2"/>
        <v>1669.5622746550312</v>
      </c>
    </row>
    <row r="31" spans="1:8" x14ac:dyDescent="0.25">
      <c r="B31" s="10" t="s">
        <v>58</v>
      </c>
      <c r="C31" s="11" t="s">
        <v>59</v>
      </c>
      <c r="D31" s="12">
        <v>1987.35643833929</v>
      </c>
      <c r="E31" s="12">
        <v>2109.65529608324</v>
      </c>
      <c r="F31" s="12">
        <v>2048.50586721126</v>
      </c>
      <c r="G31" s="12">
        <v>86.478351642120003</v>
      </c>
      <c r="H31" s="12">
        <f t="shared" si="2"/>
        <v>2186.2020664863903</v>
      </c>
    </row>
    <row r="32" spans="1:8" x14ac:dyDescent="0.25">
      <c r="B32" s="10" t="s">
        <v>60</v>
      </c>
      <c r="C32" s="11" t="s">
        <v>61</v>
      </c>
      <c r="D32" s="12">
        <v>1243.3717203968899</v>
      </c>
      <c r="E32" s="12">
        <v>1467.5862929274699</v>
      </c>
      <c r="F32" s="12">
        <v>1355.4790066621799</v>
      </c>
      <c r="G32" s="12">
        <v>158.54364467721999</v>
      </c>
      <c r="H32" s="12">
        <f t="shared" si="2"/>
        <v>1446.5914171278134</v>
      </c>
    </row>
    <row r="33" spans="1:12" x14ac:dyDescent="0.35">
      <c r="B33" s="2" t="s">
        <v>28</v>
      </c>
      <c r="C33" s="2" t="s">
        <v>29</v>
      </c>
      <c r="D33" s="14">
        <v>1192.41386300357</v>
      </c>
      <c r="E33" s="14">
        <v>1386.0537210981699</v>
      </c>
      <c r="F33" s="14">
        <v>1289.2337920508701</v>
      </c>
      <c r="G33" s="14">
        <v>136.92405676669</v>
      </c>
      <c r="H33" s="16">
        <v>1375.89334035089</v>
      </c>
    </row>
    <row r="35" spans="1:12" x14ac:dyDescent="0.25">
      <c r="A35" s="9">
        <v>45515</v>
      </c>
      <c r="B35" s="10" t="s">
        <v>62</v>
      </c>
      <c r="C35" s="11" t="s">
        <v>63</v>
      </c>
      <c r="D35" s="12">
        <v>1590.13020078713</v>
      </c>
      <c r="E35" s="12">
        <v>1605.56835807633</v>
      </c>
      <c r="F35" s="12">
        <v>1597.8492794317301</v>
      </c>
      <c r="G35" s="12">
        <v>10.9164257082147</v>
      </c>
      <c r="H35" s="12">
        <f t="shared" ref="H35:H46" si="3">F35/$F$47*$H$47</f>
        <v>1536.7441804998314</v>
      </c>
    </row>
    <row r="36" spans="1:12" x14ac:dyDescent="0.35">
      <c r="B36" s="2" t="s">
        <v>64</v>
      </c>
      <c r="C36" s="2" t="s">
        <v>65</v>
      </c>
      <c r="D36" s="18">
        <v>1368.84994630866</v>
      </c>
      <c r="E36" s="18">
        <v>1379.1420511681299</v>
      </c>
      <c r="F36" s="18">
        <v>1373.99599873839</v>
      </c>
      <c r="G36" s="18">
        <v>7.2776171388098199</v>
      </c>
      <c r="H36" s="17">
        <f t="shared" si="3"/>
        <v>1321.4515175312504</v>
      </c>
    </row>
    <row r="37" spans="1:12" x14ac:dyDescent="0.25">
      <c r="B37" s="10" t="s">
        <v>66</v>
      </c>
      <c r="C37" s="11" t="s">
        <v>67</v>
      </c>
      <c r="D37" s="12">
        <v>2289.9933312306598</v>
      </c>
      <c r="E37" s="12">
        <v>2346.59990795771</v>
      </c>
      <c r="F37" s="12">
        <v>2318.2966195941799</v>
      </c>
      <c r="G37" s="12">
        <v>40.026894263453798</v>
      </c>
      <c r="H37" s="12">
        <f t="shared" si="3"/>
        <v>2229.6401072952417</v>
      </c>
    </row>
    <row r="38" spans="1:12" x14ac:dyDescent="0.35">
      <c r="B38" s="2" t="s">
        <v>68</v>
      </c>
      <c r="C38" s="2" t="s">
        <v>69</v>
      </c>
      <c r="D38" s="18">
        <v>849.09865090574897</v>
      </c>
      <c r="E38" s="18">
        <v>874.82891305440796</v>
      </c>
      <c r="F38" s="18">
        <v>861.96378198007903</v>
      </c>
      <c r="G38" s="18">
        <v>18.1940428470241</v>
      </c>
      <c r="H38" s="17">
        <f t="shared" si="3"/>
        <v>829.00048384451372</v>
      </c>
    </row>
    <row r="39" spans="1:12" x14ac:dyDescent="0.25">
      <c r="B39" s="10" t="s">
        <v>70</v>
      </c>
      <c r="C39" s="11" t="s">
        <v>71</v>
      </c>
      <c r="D39" s="12">
        <v>1466.6249424735699</v>
      </c>
      <c r="E39" s="12">
        <v>1482.06309976276</v>
      </c>
      <c r="F39" s="12">
        <v>1474.3440211181601</v>
      </c>
      <c r="G39" s="12">
        <v>10.916425708214501</v>
      </c>
      <c r="H39" s="12">
        <f t="shared" si="3"/>
        <v>1417.962021620611</v>
      </c>
    </row>
    <row r="40" spans="1:12" x14ac:dyDescent="0.25">
      <c r="B40" s="10" t="s">
        <v>72</v>
      </c>
      <c r="C40" s="11" t="s">
        <v>73</v>
      </c>
      <c r="D40" s="12">
        <v>2711.9696304686599</v>
      </c>
      <c r="E40" s="12">
        <v>2722.2617353281298</v>
      </c>
      <c r="F40" s="12">
        <v>2717.1156828983999</v>
      </c>
      <c r="G40" s="12">
        <v>7.2776171388093402</v>
      </c>
      <c r="H40" s="12">
        <f t="shared" si="3"/>
        <v>2613.2074953427077</v>
      </c>
    </row>
    <row r="41" spans="1:12" x14ac:dyDescent="0.25">
      <c r="B41" s="10" t="s">
        <v>74</v>
      </c>
      <c r="C41" s="11" t="s">
        <v>75</v>
      </c>
      <c r="D41" s="12">
        <v>2691.3854207497402</v>
      </c>
      <c r="E41" s="12">
        <v>2639.9248964524199</v>
      </c>
      <c r="F41" s="12">
        <v>2665.6551586010801</v>
      </c>
      <c r="G41" s="12">
        <v>36.388085694049302</v>
      </c>
      <c r="H41" s="12">
        <f t="shared" si="3"/>
        <v>2563.7149291430333</v>
      </c>
    </row>
    <row r="42" spans="1:12" x14ac:dyDescent="0.35">
      <c r="B42" s="10" t="s">
        <v>76</v>
      </c>
      <c r="C42" s="11" t="s">
        <v>77</v>
      </c>
      <c r="D42" s="12">
        <v>1425.45652303571</v>
      </c>
      <c r="E42" s="12">
        <v>1461.47889004383</v>
      </c>
      <c r="F42" s="12">
        <v>1443.46770653977</v>
      </c>
      <c r="G42" s="12">
        <v>25.471659985834101</v>
      </c>
      <c r="H42" s="12">
        <f t="shared" si="3"/>
        <v>1388.2664819008085</v>
      </c>
      <c r="I42" s="19"/>
      <c r="J42" s="19"/>
      <c r="K42" s="20"/>
      <c r="L42" s="19"/>
    </row>
    <row r="43" spans="1:12" x14ac:dyDescent="0.25">
      <c r="B43" s="10" t="s">
        <v>78</v>
      </c>
      <c r="C43" s="11" t="s">
        <v>79</v>
      </c>
      <c r="D43" s="12">
        <v>2058.42097189273</v>
      </c>
      <c r="E43" s="12">
        <v>2084.1512340413801</v>
      </c>
      <c r="F43" s="12">
        <v>2071.2861029670498</v>
      </c>
      <c r="G43" s="12">
        <v>18.194042847023798</v>
      </c>
      <c r="H43" s="12">
        <f t="shared" si="3"/>
        <v>1992.075789536811</v>
      </c>
    </row>
    <row r="44" spans="1:12" x14ac:dyDescent="0.25">
      <c r="B44" s="10" t="s">
        <v>80</v>
      </c>
      <c r="C44" s="11" t="s">
        <v>81</v>
      </c>
      <c r="D44" s="12">
        <v>2850.91304607142</v>
      </c>
      <c r="E44" s="12">
        <v>2794.3064693443698</v>
      </c>
      <c r="F44" s="12">
        <v>2822.6097577078999</v>
      </c>
      <c r="G44" s="12">
        <v>40.026894263453798</v>
      </c>
      <c r="H44" s="12">
        <f t="shared" si="3"/>
        <v>2714.6672560520337</v>
      </c>
    </row>
    <row r="45" spans="1:12" x14ac:dyDescent="0.25">
      <c r="B45" s="10" t="s">
        <v>82</v>
      </c>
      <c r="C45" s="11" t="s">
        <v>83</v>
      </c>
      <c r="D45" s="12">
        <v>2151.0499156279002</v>
      </c>
      <c r="E45" s="12">
        <v>2243.6788593630699</v>
      </c>
      <c r="F45" s="12">
        <v>2197.3643874954801</v>
      </c>
      <c r="G45" s="12">
        <v>65.498554249287295</v>
      </c>
      <c r="H45" s="12">
        <f t="shared" si="3"/>
        <v>2113.3325767260094</v>
      </c>
    </row>
    <row r="46" spans="1:12" x14ac:dyDescent="0.25">
      <c r="B46" s="10" t="s">
        <v>84</v>
      </c>
      <c r="C46" s="11" t="s">
        <v>85</v>
      </c>
      <c r="D46" s="12">
        <v>2500.9814808496599</v>
      </c>
      <c r="E46" s="12">
        <v>2516.4196381388601</v>
      </c>
      <c r="F46" s="12">
        <v>2508.7005594942598</v>
      </c>
      <c r="G46" s="12">
        <v>10.916425708214801</v>
      </c>
      <c r="H46" s="12">
        <f t="shared" si="3"/>
        <v>2412.7626022340328</v>
      </c>
    </row>
    <row r="47" spans="1:12" x14ac:dyDescent="0.35">
      <c r="B47" s="2" t="s">
        <v>28</v>
      </c>
      <c r="C47" s="2" t="s">
        <v>29</v>
      </c>
      <c r="D47" s="14">
        <v>1461.47889004384</v>
      </c>
      <c r="E47" s="14">
        <v>1399.7262608870501</v>
      </c>
      <c r="F47" s="14">
        <v>1430.6025754654399</v>
      </c>
      <c r="G47" s="14">
        <v>43.6657028328585</v>
      </c>
      <c r="H47" s="16">
        <v>1375.89334035089</v>
      </c>
    </row>
    <row r="49" spans="1:8" x14ac:dyDescent="0.35">
      <c r="A49" s="9">
        <v>45517</v>
      </c>
      <c r="B49" s="2" t="s">
        <v>86</v>
      </c>
      <c r="C49" s="2" t="s">
        <v>87</v>
      </c>
      <c r="D49" s="18">
        <v>836.71811164588405</v>
      </c>
      <c r="E49" s="18">
        <v>857.00218707972294</v>
      </c>
      <c r="F49" s="18">
        <v>846.86014936280401</v>
      </c>
      <c r="G49" s="18">
        <v>14.343007289367501</v>
      </c>
      <c r="H49" s="17">
        <f>F49/$F$53*$H$53</f>
        <v>702.6733573045824</v>
      </c>
    </row>
    <row r="50" spans="1:8" x14ac:dyDescent="0.25">
      <c r="B50" s="10" t="s">
        <v>88</v>
      </c>
      <c r="C50" s="11" t="s">
        <v>89</v>
      </c>
      <c r="D50" s="12">
        <v>2236.3193165808202</v>
      </c>
      <c r="E50" s="12">
        <v>2114.6148639777798</v>
      </c>
      <c r="F50" s="12">
        <v>2175.4670902793</v>
      </c>
      <c r="G50" s="12">
        <v>86.058043736205704</v>
      </c>
      <c r="H50" s="12">
        <f>F50/$F$53*$H$53</f>
        <v>1805.07107954291</v>
      </c>
    </row>
    <row r="51" spans="1:8" x14ac:dyDescent="0.25">
      <c r="B51" s="10" t="s">
        <v>90</v>
      </c>
      <c r="C51" s="11" t="s">
        <v>91</v>
      </c>
      <c r="D51" s="12">
        <v>1840.77984562095</v>
      </c>
      <c r="E51" s="12">
        <v>1830.6378079040301</v>
      </c>
      <c r="F51" s="12">
        <v>1835.7088267624899</v>
      </c>
      <c r="G51" s="12">
        <v>7.1715036446839902</v>
      </c>
      <c r="H51" s="12">
        <f>F51/$F$53*$H$53</f>
        <v>1523.1602116422721</v>
      </c>
    </row>
    <row r="52" spans="1:8" x14ac:dyDescent="0.25">
      <c r="B52" s="10" t="s">
        <v>92</v>
      </c>
      <c r="C52" s="11" t="s">
        <v>93</v>
      </c>
      <c r="D52" s="12">
        <v>2565.9355423807101</v>
      </c>
      <c r="E52" s="12">
        <v>2662.2849006914498</v>
      </c>
      <c r="F52" s="12">
        <v>2614.1102215360802</v>
      </c>
      <c r="G52" s="12">
        <v>68.129284624495199</v>
      </c>
      <c r="H52" s="12">
        <f>F52/$F$53*$H$53</f>
        <v>2169.0306328773181</v>
      </c>
    </row>
    <row r="53" spans="1:8" x14ac:dyDescent="0.35">
      <c r="B53" s="2" t="s">
        <v>28</v>
      </c>
      <c r="C53" s="2" t="s">
        <v>29</v>
      </c>
      <c r="D53" s="14">
        <v>1627.79705356563</v>
      </c>
      <c r="E53" s="14">
        <v>1688.64927986715</v>
      </c>
      <c r="F53" s="14">
        <v>1658.2231667163901</v>
      </c>
      <c r="G53" s="14">
        <v>43.029021868101999</v>
      </c>
      <c r="H53" s="16">
        <v>1375.89334035089</v>
      </c>
    </row>
    <row r="55" spans="1:8" x14ac:dyDescent="0.25">
      <c r="A55" s="9">
        <v>45535</v>
      </c>
      <c r="B55" s="10" t="s">
        <v>94</v>
      </c>
      <c r="C55" s="11" t="s">
        <v>95</v>
      </c>
      <c r="D55" s="12">
        <v>1357.6234886628699</v>
      </c>
      <c r="E55" s="12">
        <v>1458.5620380058399</v>
      </c>
      <c r="F55" s="12">
        <v>1408.0927633343499</v>
      </c>
      <c r="G55" s="12">
        <v>71.374332723543006</v>
      </c>
      <c r="H55" s="12">
        <f t="shared" ref="H55:H63" si="4">F55/$F$64*$H$64</f>
        <v>1508.3467267500903</v>
      </c>
    </row>
    <row r="56" spans="1:8" x14ac:dyDescent="0.25">
      <c r="B56" s="2" t="s">
        <v>96</v>
      </c>
      <c r="C56" s="2" t="s">
        <v>97</v>
      </c>
      <c r="D56" s="14">
        <v>378.51956003611701</v>
      </c>
      <c r="E56" s="14">
        <v>363.37877763467202</v>
      </c>
      <c r="F56" s="14">
        <v>370.94916883539503</v>
      </c>
      <c r="G56" s="14">
        <v>10.7061499085313</v>
      </c>
      <c r="H56" s="17">
        <f t="shared" si="4"/>
        <v>397.36015919760632</v>
      </c>
    </row>
    <row r="57" spans="1:8" x14ac:dyDescent="0.25">
      <c r="B57" s="2" t="s">
        <v>98</v>
      </c>
      <c r="C57" s="2" t="s">
        <v>99</v>
      </c>
      <c r="D57" s="14">
        <v>822.64917714516105</v>
      </c>
      <c r="E57" s="14">
        <v>923.58772648812499</v>
      </c>
      <c r="F57" s="14">
        <v>873.11845181664296</v>
      </c>
      <c r="G57" s="14">
        <v>71.374332723542906</v>
      </c>
      <c r="H57" s="17">
        <f t="shared" si="4"/>
        <v>935.28309579844631</v>
      </c>
    </row>
    <row r="58" spans="1:8" x14ac:dyDescent="0.25">
      <c r="B58" s="10" t="s">
        <v>100</v>
      </c>
      <c r="C58" s="11" t="s">
        <v>101</v>
      </c>
      <c r="D58" s="12">
        <v>1609.9698620202801</v>
      </c>
      <c r="E58" s="12">
        <v>1690.72070149466</v>
      </c>
      <c r="F58" s="12">
        <v>1650.34528175747</v>
      </c>
      <c r="G58" s="12">
        <v>57.099466178834497</v>
      </c>
      <c r="H58" s="12">
        <f t="shared" si="4"/>
        <v>1767.8472388791445</v>
      </c>
    </row>
    <row r="59" spans="1:8" x14ac:dyDescent="0.25">
      <c r="B59" s="10" t="s">
        <v>102</v>
      </c>
      <c r="C59" s="11" t="s">
        <v>103</v>
      </c>
      <c r="D59" s="12">
        <v>1438.3743281372399</v>
      </c>
      <c r="E59" s="12">
        <v>1403.0458358672099</v>
      </c>
      <c r="F59" s="12">
        <v>1420.7100820022299</v>
      </c>
      <c r="G59" s="12">
        <v>24.981016453240201</v>
      </c>
      <c r="H59" s="12">
        <f t="shared" si="4"/>
        <v>1521.8623784234883</v>
      </c>
    </row>
    <row r="60" spans="1:8" x14ac:dyDescent="0.25">
      <c r="B60" s="10" t="s">
        <v>104</v>
      </c>
      <c r="C60" s="11" t="s">
        <v>105</v>
      </c>
      <c r="D60" s="12">
        <v>1857.26930791055</v>
      </c>
      <c r="E60" s="12">
        <v>1912.7855100491799</v>
      </c>
      <c r="F60" s="12">
        <v>1885.02740897986</v>
      </c>
      <c r="G60" s="12">
        <v>39.255882997948703</v>
      </c>
      <c r="H60" s="12">
        <f t="shared" si="4"/>
        <v>2019.2383600041576</v>
      </c>
    </row>
    <row r="61" spans="1:8" x14ac:dyDescent="0.25">
      <c r="B61" s="10" t="s">
        <v>106</v>
      </c>
      <c r="C61" s="11" t="s">
        <v>107</v>
      </c>
      <c r="D61" s="12">
        <v>1569.5944422831001</v>
      </c>
      <c r="E61" s="12">
        <v>1589.7821521516901</v>
      </c>
      <c r="F61" s="12">
        <v>1579.6882972173901</v>
      </c>
      <c r="G61" s="12">
        <v>14.2748665447088</v>
      </c>
      <c r="H61" s="12">
        <f t="shared" si="4"/>
        <v>1692.1595895081671</v>
      </c>
    </row>
    <row r="62" spans="1:8" x14ac:dyDescent="0.25">
      <c r="B62" s="10" t="s">
        <v>108</v>
      </c>
      <c r="C62" s="11" t="s">
        <v>109</v>
      </c>
      <c r="D62" s="12">
        <v>1867.36316284484</v>
      </c>
      <c r="E62" s="12">
        <v>1902.6916551148799</v>
      </c>
      <c r="F62" s="12">
        <v>1885.02740897986</v>
      </c>
      <c r="G62" s="12">
        <v>24.981016453240699</v>
      </c>
      <c r="H62" s="12">
        <f t="shared" si="4"/>
        <v>2019.2383600041576</v>
      </c>
    </row>
    <row r="63" spans="1:8" x14ac:dyDescent="0.25">
      <c r="B63" s="10" t="s">
        <v>110</v>
      </c>
      <c r="C63" s="11" t="s">
        <v>111</v>
      </c>
      <c r="D63" s="12">
        <v>1761.37768603473</v>
      </c>
      <c r="E63" s="12">
        <v>1781.56539590332</v>
      </c>
      <c r="F63" s="12">
        <v>1771.47154096903</v>
      </c>
      <c r="G63" s="12">
        <v>14.2748665447088</v>
      </c>
      <c r="H63" s="12">
        <f t="shared" si="4"/>
        <v>1897.5974949436716</v>
      </c>
    </row>
    <row r="64" spans="1:8" x14ac:dyDescent="0.35">
      <c r="B64" s="2" t="s">
        <v>28</v>
      </c>
      <c r="C64" s="2" t="s">
        <v>29</v>
      </c>
      <c r="D64" s="14">
        <v>1241.54415691846</v>
      </c>
      <c r="E64" s="14">
        <v>1327.3419238599799</v>
      </c>
      <c r="F64" s="14">
        <v>1284.44304038922</v>
      </c>
      <c r="G64" s="14">
        <v>60.668182815012102</v>
      </c>
      <c r="H64" s="16">
        <v>1375.89334035089</v>
      </c>
    </row>
    <row r="66" spans="1:8" x14ac:dyDescent="0.25">
      <c r="A66" s="9">
        <v>45539</v>
      </c>
      <c r="B66" s="10" t="s">
        <v>112</v>
      </c>
      <c r="C66" s="11" t="s">
        <v>113</v>
      </c>
      <c r="D66" s="12">
        <v>1904.2997153518199</v>
      </c>
      <c r="E66" s="12">
        <v>1894.3814876677</v>
      </c>
      <c r="F66" s="12">
        <v>1899.3406015097601</v>
      </c>
      <c r="G66" s="12">
        <v>7.0132460527962799</v>
      </c>
      <c r="H66" s="12">
        <f>F66/$F$71*$H$71</f>
        <v>1937.3792255676046</v>
      </c>
    </row>
    <row r="67" spans="1:8" x14ac:dyDescent="0.25">
      <c r="B67" s="10" t="s">
        <v>114</v>
      </c>
      <c r="C67" s="11" t="s">
        <v>115</v>
      </c>
      <c r="D67" s="12">
        <v>1765.4445277740899</v>
      </c>
      <c r="E67" s="12">
        <v>1844.79034924708</v>
      </c>
      <c r="F67" s="12">
        <v>1805.1174385105801</v>
      </c>
      <c r="G67" s="12">
        <v>56.105968422370097</v>
      </c>
      <c r="H67" s="12">
        <f>F67/$F$71*$H$71</f>
        <v>1841.2690289989755</v>
      </c>
    </row>
    <row r="68" spans="1:8" x14ac:dyDescent="0.25">
      <c r="B68" s="10" t="s">
        <v>116</v>
      </c>
      <c r="C68" s="11" t="s">
        <v>117</v>
      </c>
      <c r="D68" s="12">
        <v>2127.4598382446202</v>
      </c>
      <c r="E68" s="12">
        <v>2177.0509766652399</v>
      </c>
      <c r="F68" s="12">
        <v>2152.2554074549298</v>
      </c>
      <c r="G68" s="12">
        <v>35.066230263981197</v>
      </c>
      <c r="H68" s="12">
        <f>F68/$F$71*$H$71</f>
        <v>2195.3592268834013</v>
      </c>
    </row>
    <row r="69" spans="1:8" x14ac:dyDescent="0.25">
      <c r="B69" s="10" t="s">
        <v>118</v>
      </c>
      <c r="C69" s="11" t="s">
        <v>119</v>
      </c>
      <c r="D69" s="12">
        <v>1681.1395924590299</v>
      </c>
      <c r="E69" s="12">
        <v>1745.6080724058399</v>
      </c>
      <c r="F69" s="12">
        <v>1713.3738324324399</v>
      </c>
      <c r="G69" s="12">
        <v>45.586099343175903</v>
      </c>
      <c r="H69" s="12">
        <f>F69/$F$71*$H$71</f>
        <v>1747.6880481295298</v>
      </c>
    </row>
    <row r="70" spans="1:8" x14ac:dyDescent="0.35">
      <c r="B70" s="2" t="s">
        <v>120</v>
      </c>
      <c r="C70" s="2" t="s">
        <v>121</v>
      </c>
      <c r="D70" s="18">
        <v>24.795569210310202</v>
      </c>
      <c r="E70" s="18">
        <v>14.8773415261862</v>
      </c>
      <c r="F70" s="18">
        <v>19.836455368248199</v>
      </c>
      <c r="G70" s="18">
        <v>7.0132460527962603</v>
      </c>
      <c r="H70" s="17">
        <f>F70/$F$71*$H$71</f>
        <v>20.233725593395402</v>
      </c>
    </row>
    <row r="71" spans="1:8" x14ac:dyDescent="0.35">
      <c r="B71" s="2" t="s">
        <v>28</v>
      </c>
      <c r="C71" s="2" t="s">
        <v>29</v>
      </c>
      <c r="D71" s="14">
        <v>1358.7971927250001</v>
      </c>
      <c r="E71" s="14">
        <v>1338.9607373567501</v>
      </c>
      <c r="F71" s="14">
        <v>1348.8789650408801</v>
      </c>
      <c r="G71" s="14">
        <v>14.0264921055927</v>
      </c>
      <c r="H71" s="16">
        <v>1375.89334035089</v>
      </c>
    </row>
    <row r="73" spans="1:8" x14ac:dyDescent="0.25">
      <c r="A73" s="9">
        <v>45544</v>
      </c>
      <c r="B73" s="21" t="s">
        <v>122</v>
      </c>
      <c r="D73" s="14">
        <v>470.39716375268</v>
      </c>
      <c r="E73" s="14">
        <v>594.185891056017</v>
      </c>
      <c r="F73" s="14">
        <v>532.29152740434802</v>
      </c>
      <c r="G73" s="14">
        <v>43.765924255320897</v>
      </c>
      <c r="H73" s="17">
        <f>F73/$F$75*$H$75</f>
        <v>510.91030772960494</v>
      </c>
    </row>
    <row r="74" spans="1:8" x14ac:dyDescent="0.25">
      <c r="B74" s="10" t="s">
        <v>123</v>
      </c>
      <c r="C74" s="11"/>
      <c r="D74" s="12">
        <v>1678.5751422332501</v>
      </c>
      <c r="E74" s="12">
        <v>1733.0421822467199</v>
      </c>
      <c r="F74" s="12">
        <v>1705.8086622399801</v>
      </c>
      <c r="G74" s="12">
        <v>19.257006672341198</v>
      </c>
      <c r="H74" s="12">
        <f>F74/$F$75*$H$75</f>
        <v>1637.2893117474314</v>
      </c>
    </row>
    <row r="75" spans="1:8" x14ac:dyDescent="0.35">
      <c r="B75" s="2" t="s">
        <v>28</v>
      </c>
      <c r="C75" s="2" t="s">
        <v>29</v>
      </c>
      <c r="D75" s="14">
        <v>1421.0945894423101</v>
      </c>
      <c r="E75" s="14">
        <v>1445.8523349029699</v>
      </c>
      <c r="F75" s="14">
        <v>1433.47346217264</v>
      </c>
      <c r="G75" s="14">
        <v>8.7531848510644199</v>
      </c>
      <c r="H75" s="16">
        <v>1375.89334035089</v>
      </c>
    </row>
    <row r="76" spans="1:8" s="23" customFormat="1" x14ac:dyDescent="0.25">
      <c r="A76" s="22" t="s">
        <v>124</v>
      </c>
      <c r="B76" s="22"/>
      <c r="C76" s="22"/>
      <c r="D76" s="22"/>
      <c r="E76" s="22"/>
      <c r="F76" s="22"/>
      <c r="G76" s="22"/>
      <c r="H76" s="22"/>
    </row>
  </sheetData>
  <mergeCells count="2">
    <mergeCell ref="A1:H1"/>
    <mergeCell ref="A76:H76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2026-01-04T10:51:18Z</dcterms:created>
  <dcterms:modified xsi:type="dcterms:W3CDTF">2026-01-04T10:51:29Z</dcterms:modified>
</cp:coreProperties>
</file>