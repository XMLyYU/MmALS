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cey/Desktop/"/>
    </mc:Choice>
  </mc:AlternateContent>
  <xr:revisionPtr revIDLastSave="0" documentId="8_{6E7E0980-5FBB-6840-B4A6-5F234E16DF2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ll" sheetId="9" r:id="rId1"/>
    <sheet name="1" sheetId="7" r:id="rId2"/>
    <sheet name="2" sheetId="6" r:id="rId3"/>
    <sheet name="3" sheetId="5" r:id="rId4"/>
    <sheet name="4" sheetId="1" r:id="rId5"/>
    <sheet name="5" sheetId="4" r:id="rId6"/>
    <sheet name="双点" sheetId="8" r:id="rId7"/>
  </sheets>
  <definedNames>
    <definedName name="_xlnm._FilterDatabase" localSheetId="0" hidden="1">all!$B$1:$O$229</definedName>
    <definedName name="MethodPointer1" localSheetId="1">306024400</definedName>
    <definedName name="MethodPointer1" localSheetId="2">310988304</definedName>
    <definedName name="MethodPointer1" localSheetId="3">307593424</definedName>
    <definedName name="MethodPointer1" localSheetId="5">309612048</definedName>
    <definedName name="MethodPointer1" localSheetId="6">302334592</definedName>
    <definedName name="MethodPointer1">304038720</definedName>
    <definedName name="MethodPointer2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7" i="9" l="1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S229" i="9"/>
  <c r="S228" i="9"/>
  <c r="S227" i="9"/>
  <c r="S226" i="9"/>
  <c r="S225" i="9"/>
  <c r="S224" i="9"/>
  <c r="S223" i="9"/>
  <c r="S222" i="9"/>
  <c r="S221" i="9"/>
  <c r="S220" i="9"/>
  <c r="S219" i="9"/>
  <c r="S218" i="9"/>
  <c r="S217" i="9"/>
  <c r="S216" i="9"/>
  <c r="S215" i="9"/>
  <c r="S214" i="9"/>
  <c r="S213" i="9"/>
  <c r="S212" i="9"/>
  <c r="S211" i="9"/>
  <c r="S210" i="9"/>
  <c r="S209" i="9"/>
  <c r="S208" i="9"/>
  <c r="S207" i="9"/>
  <c r="S206" i="9"/>
  <c r="S205" i="9"/>
  <c r="S204" i="9"/>
  <c r="S203" i="9"/>
  <c r="S202" i="9"/>
  <c r="S201" i="9"/>
  <c r="S200" i="9"/>
  <c r="S199" i="9"/>
  <c r="S198" i="9"/>
  <c r="S197" i="9"/>
  <c r="S196" i="9"/>
  <c r="S195" i="9"/>
  <c r="S194" i="9"/>
  <c r="S193" i="9"/>
  <c r="S192" i="9"/>
  <c r="S191" i="9"/>
  <c r="S190" i="9"/>
  <c r="S189" i="9"/>
  <c r="S188" i="9"/>
  <c r="S187" i="9"/>
  <c r="S186" i="9"/>
  <c r="S185" i="9"/>
  <c r="S184" i="9"/>
  <c r="S183" i="9"/>
  <c r="S182" i="9"/>
  <c r="S181" i="9"/>
  <c r="S180" i="9"/>
  <c r="S179" i="9"/>
  <c r="S178" i="9"/>
  <c r="S177" i="9"/>
  <c r="S176" i="9"/>
  <c r="S175" i="9"/>
  <c r="S174" i="9"/>
  <c r="S173" i="9"/>
  <c r="S172" i="9"/>
  <c r="S171" i="9"/>
  <c r="S170" i="9"/>
  <c r="S169" i="9"/>
  <c r="S168" i="9"/>
  <c r="S167" i="9"/>
  <c r="O33" i="9" l="1"/>
  <c r="O64" i="9"/>
  <c r="O94" i="9"/>
  <c r="O124" i="9"/>
  <c r="F144" i="9"/>
  <c r="H144" i="9" s="1"/>
  <c r="J144" i="9" s="1"/>
  <c r="L144" i="9" s="1"/>
  <c r="E144" i="9"/>
  <c r="G144" i="9" s="1"/>
  <c r="I144" i="9" s="1"/>
  <c r="K144" i="9" s="1"/>
  <c r="F143" i="9"/>
  <c r="H143" i="9" s="1"/>
  <c r="J143" i="9" s="1"/>
  <c r="L143" i="9" s="1"/>
  <c r="E143" i="9"/>
  <c r="G143" i="9" s="1"/>
  <c r="I143" i="9" s="1"/>
  <c r="K143" i="9" s="1"/>
  <c r="F142" i="9"/>
  <c r="H142" i="9" s="1"/>
  <c r="J142" i="9" s="1"/>
  <c r="L142" i="9" s="1"/>
  <c r="E142" i="9"/>
  <c r="G142" i="9" s="1"/>
  <c r="I142" i="9" s="1"/>
  <c r="K142" i="9" s="1"/>
  <c r="F141" i="9"/>
  <c r="H141" i="9" s="1"/>
  <c r="J141" i="9" s="1"/>
  <c r="L141" i="9" s="1"/>
  <c r="E141" i="9"/>
  <c r="G141" i="9" s="1"/>
  <c r="I141" i="9" s="1"/>
  <c r="K141" i="9" s="1"/>
  <c r="F140" i="9"/>
  <c r="H140" i="9" s="1"/>
  <c r="J140" i="9" s="1"/>
  <c r="L140" i="9" s="1"/>
  <c r="E140" i="9"/>
  <c r="G140" i="9" s="1"/>
  <c r="I140" i="9" s="1"/>
  <c r="K140" i="9" s="1"/>
  <c r="F139" i="9"/>
  <c r="H139" i="9" s="1"/>
  <c r="J139" i="9" s="1"/>
  <c r="L139" i="9" s="1"/>
  <c r="E139" i="9"/>
  <c r="G139" i="9" s="1"/>
  <c r="I139" i="9" s="1"/>
  <c r="K139" i="9" s="1"/>
  <c r="F138" i="9"/>
  <c r="H138" i="9" s="1"/>
  <c r="J138" i="9" s="1"/>
  <c r="L138" i="9" s="1"/>
  <c r="E138" i="9"/>
  <c r="G138" i="9" s="1"/>
  <c r="I138" i="9" s="1"/>
  <c r="K138" i="9" s="1"/>
  <c r="F137" i="9"/>
  <c r="H137" i="9" s="1"/>
  <c r="J137" i="9" s="1"/>
  <c r="L137" i="9" s="1"/>
  <c r="E137" i="9"/>
  <c r="G137" i="9" s="1"/>
  <c r="I137" i="9" s="1"/>
  <c r="K137" i="9" s="1"/>
  <c r="F136" i="9"/>
  <c r="H136" i="9" s="1"/>
  <c r="J136" i="9" s="1"/>
  <c r="L136" i="9" s="1"/>
  <c r="E136" i="9"/>
  <c r="G136" i="9" s="1"/>
  <c r="I136" i="9" s="1"/>
  <c r="K136" i="9" s="1"/>
  <c r="F135" i="9"/>
  <c r="H135" i="9" s="1"/>
  <c r="J135" i="9" s="1"/>
  <c r="L135" i="9" s="1"/>
  <c r="E135" i="9"/>
  <c r="G135" i="9" s="1"/>
  <c r="I135" i="9" s="1"/>
  <c r="K135" i="9" s="1"/>
  <c r="F134" i="9"/>
  <c r="H134" i="9" s="1"/>
  <c r="J134" i="9" s="1"/>
  <c r="L134" i="9" s="1"/>
  <c r="E134" i="9"/>
  <c r="G134" i="9" s="1"/>
  <c r="I134" i="9" s="1"/>
  <c r="K134" i="9" s="1"/>
  <c r="F133" i="9"/>
  <c r="H133" i="9" s="1"/>
  <c r="J133" i="9" s="1"/>
  <c r="L133" i="9" s="1"/>
  <c r="E133" i="9"/>
  <c r="G133" i="9" s="1"/>
  <c r="I133" i="9" s="1"/>
  <c r="K133" i="9" s="1"/>
  <c r="F132" i="9"/>
  <c r="H132" i="9" s="1"/>
  <c r="J132" i="9" s="1"/>
  <c r="L132" i="9" s="1"/>
  <c r="E132" i="9"/>
  <c r="G132" i="9" s="1"/>
  <c r="I132" i="9" s="1"/>
  <c r="K132" i="9" s="1"/>
  <c r="F131" i="9"/>
  <c r="H131" i="9" s="1"/>
  <c r="J131" i="9" s="1"/>
  <c r="L131" i="9" s="1"/>
  <c r="E131" i="9"/>
  <c r="G131" i="9" s="1"/>
  <c r="I131" i="9" s="1"/>
  <c r="K131" i="9" s="1"/>
  <c r="F130" i="9"/>
  <c r="H130" i="9" s="1"/>
  <c r="J130" i="9" s="1"/>
  <c r="L130" i="9" s="1"/>
  <c r="E130" i="9"/>
  <c r="G130" i="9" s="1"/>
  <c r="I130" i="9" s="1"/>
  <c r="K130" i="9" s="1"/>
  <c r="F129" i="9"/>
  <c r="H129" i="9" s="1"/>
  <c r="J129" i="9" s="1"/>
  <c r="L129" i="9" s="1"/>
  <c r="E129" i="9"/>
  <c r="G129" i="9" s="1"/>
  <c r="I129" i="9" s="1"/>
  <c r="K129" i="9" s="1"/>
  <c r="F128" i="9"/>
  <c r="H128" i="9" s="1"/>
  <c r="J128" i="9" s="1"/>
  <c r="L128" i="9" s="1"/>
  <c r="E128" i="9"/>
  <c r="G128" i="9" s="1"/>
  <c r="I128" i="9" s="1"/>
  <c r="K128" i="9" s="1"/>
  <c r="F127" i="9"/>
  <c r="H127" i="9" s="1"/>
  <c r="J127" i="9" s="1"/>
  <c r="L127" i="9" s="1"/>
  <c r="E127" i="9"/>
  <c r="G127" i="9" s="1"/>
  <c r="I127" i="9" s="1"/>
  <c r="K127" i="9" s="1"/>
  <c r="F126" i="9"/>
  <c r="H126" i="9" s="1"/>
  <c r="J126" i="9" s="1"/>
  <c r="L126" i="9" s="1"/>
  <c r="E126" i="9"/>
  <c r="G126" i="9" s="1"/>
  <c r="I126" i="9" s="1"/>
  <c r="K126" i="9" s="1"/>
  <c r="F125" i="9"/>
  <c r="H125" i="9" s="1"/>
  <c r="J125" i="9" s="1"/>
  <c r="L125" i="9" s="1"/>
  <c r="E125" i="9"/>
  <c r="G125" i="9" s="1"/>
  <c r="I125" i="9" s="1"/>
  <c r="K125" i="9" s="1"/>
  <c r="F124" i="9"/>
  <c r="E124" i="9"/>
  <c r="F123" i="9"/>
  <c r="H123" i="9" s="1"/>
  <c r="J123" i="9" s="1"/>
  <c r="L123" i="9" s="1"/>
  <c r="E123" i="9"/>
  <c r="G123" i="9" s="1"/>
  <c r="I123" i="9" s="1"/>
  <c r="K123" i="9" s="1"/>
  <c r="F122" i="9"/>
  <c r="H122" i="9" s="1"/>
  <c r="J122" i="9" s="1"/>
  <c r="L122" i="9" s="1"/>
  <c r="E122" i="9"/>
  <c r="G122" i="9" s="1"/>
  <c r="I122" i="9" s="1"/>
  <c r="K122" i="9" s="1"/>
  <c r="F121" i="9"/>
  <c r="H121" i="9" s="1"/>
  <c r="J121" i="9" s="1"/>
  <c r="L121" i="9" s="1"/>
  <c r="E121" i="9"/>
  <c r="G121" i="9" s="1"/>
  <c r="I121" i="9" s="1"/>
  <c r="K121" i="9" s="1"/>
  <c r="F120" i="9"/>
  <c r="E120" i="9"/>
  <c r="G120" i="9" s="1"/>
  <c r="I120" i="9" s="1"/>
  <c r="K120" i="9" s="1"/>
  <c r="F119" i="9"/>
  <c r="H119" i="9" s="1"/>
  <c r="J119" i="9" s="1"/>
  <c r="L119" i="9" s="1"/>
  <c r="E119" i="9"/>
  <c r="G119" i="9" s="1"/>
  <c r="I119" i="9" s="1"/>
  <c r="K119" i="9" s="1"/>
  <c r="F118" i="9"/>
  <c r="H118" i="9" s="1"/>
  <c r="J118" i="9" s="1"/>
  <c r="L118" i="9" s="1"/>
  <c r="E118" i="9"/>
  <c r="G118" i="9" s="1"/>
  <c r="I118" i="9" s="1"/>
  <c r="K118" i="9" s="1"/>
  <c r="F117" i="9"/>
  <c r="H117" i="9" s="1"/>
  <c r="J117" i="9" s="1"/>
  <c r="L117" i="9" s="1"/>
  <c r="E117" i="9"/>
  <c r="G117" i="9" s="1"/>
  <c r="I117" i="9" s="1"/>
  <c r="K117" i="9" s="1"/>
  <c r="F116" i="9"/>
  <c r="H116" i="9" s="1"/>
  <c r="J116" i="9" s="1"/>
  <c r="L116" i="9" s="1"/>
  <c r="E116" i="9"/>
  <c r="G116" i="9" s="1"/>
  <c r="I116" i="9" s="1"/>
  <c r="K116" i="9" s="1"/>
  <c r="F115" i="9"/>
  <c r="H115" i="9" s="1"/>
  <c r="J115" i="9" s="1"/>
  <c r="L115" i="9" s="1"/>
  <c r="E115" i="9"/>
  <c r="G115" i="9" s="1"/>
  <c r="I115" i="9" s="1"/>
  <c r="K115" i="9" s="1"/>
  <c r="F114" i="9"/>
  <c r="H114" i="9" s="1"/>
  <c r="J114" i="9" s="1"/>
  <c r="L114" i="9" s="1"/>
  <c r="E114" i="9"/>
  <c r="G114" i="9" s="1"/>
  <c r="I114" i="9" s="1"/>
  <c r="K114" i="9" s="1"/>
  <c r="F113" i="9"/>
  <c r="H113" i="9" s="1"/>
  <c r="J113" i="9" s="1"/>
  <c r="L113" i="9" s="1"/>
  <c r="E113" i="9"/>
  <c r="G113" i="9" s="1"/>
  <c r="I113" i="9" s="1"/>
  <c r="K113" i="9" s="1"/>
  <c r="F112" i="9"/>
  <c r="H112" i="9" s="1"/>
  <c r="J112" i="9" s="1"/>
  <c r="L112" i="9" s="1"/>
  <c r="E112" i="9"/>
  <c r="G112" i="9" s="1"/>
  <c r="I112" i="9" s="1"/>
  <c r="K112" i="9" s="1"/>
  <c r="F111" i="9"/>
  <c r="H111" i="9" s="1"/>
  <c r="J111" i="9" s="1"/>
  <c r="L111" i="9" s="1"/>
  <c r="E111" i="9"/>
  <c r="G111" i="9" s="1"/>
  <c r="I111" i="9" s="1"/>
  <c r="K111" i="9" s="1"/>
  <c r="F110" i="9"/>
  <c r="H110" i="9" s="1"/>
  <c r="J110" i="9" s="1"/>
  <c r="L110" i="9" s="1"/>
  <c r="E110" i="9"/>
  <c r="G110" i="9" s="1"/>
  <c r="I110" i="9" s="1"/>
  <c r="K110" i="9" s="1"/>
  <c r="F109" i="9"/>
  <c r="H109" i="9" s="1"/>
  <c r="J109" i="9" s="1"/>
  <c r="L109" i="9" s="1"/>
  <c r="E109" i="9"/>
  <c r="G109" i="9" s="1"/>
  <c r="I109" i="9" s="1"/>
  <c r="K109" i="9" s="1"/>
  <c r="F108" i="9"/>
  <c r="H108" i="9" s="1"/>
  <c r="J108" i="9" s="1"/>
  <c r="L108" i="9" s="1"/>
  <c r="E108" i="9"/>
  <c r="G108" i="9" s="1"/>
  <c r="I108" i="9" s="1"/>
  <c r="K108" i="9" s="1"/>
  <c r="F107" i="9"/>
  <c r="H107" i="9" s="1"/>
  <c r="J107" i="9" s="1"/>
  <c r="L107" i="9" s="1"/>
  <c r="E107" i="9"/>
  <c r="G107" i="9" s="1"/>
  <c r="I107" i="9" s="1"/>
  <c r="K107" i="9" s="1"/>
  <c r="F106" i="9"/>
  <c r="H106" i="9" s="1"/>
  <c r="J106" i="9" s="1"/>
  <c r="L106" i="9" s="1"/>
  <c r="E106" i="9"/>
  <c r="G106" i="9" s="1"/>
  <c r="I106" i="9" s="1"/>
  <c r="K106" i="9" s="1"/>
  <c r="F105" i="9"/>
  <c r="H105" i="9" s="1"/>
  <c r="J105" i="9" s="1"/>
  <c r="L105" i="9" s="1"/>
  <c r="E105" i="9"/>
  <c r="G105" i="9" s="1"/>
  <c r="I105" i="9" s="1"/>
  <c r="K105" i="9" s="1"/>
  <c r="F104" i="9"/>
  <c r="H104" i="9" s="1"/>
  <c r="J104" i="9" s="1"/>
  <c r="L104" i="9" s="1"/>
  <c r="E104" i="9"/>
  <c r="G104" i="9" s="1"/>
  <c r="I104" i="9" s="1"/>
  <c r="K104" i="9" s="1"/>
  <c r="F103" i="9"/>
  <c r="H103" i="9" s="1"/>
  <c r="J103" i="9" s="1"/>
  <c r="L103" i="9" s="1"/>
  <c r="E103" i="9"/>
  <c r="G103" i="9" s="1"/>
  <c r="I103" i="9" s="1"/>
  <c r="K103" i="9" s="1"/>
  <c r="F102" i="9"/>
  <c r="H102" i="9" s="1"/>
  <c r="J102" i="9" s="1"/>
  <c r="L102" i="9" s="1"/>
  <c r="E102" i="9"/>
  <c r="G102" i="9" s="1"/>
  <c r="I102" i="9" s="1"/>
  <c r="K102" i="9" s="1"/>
  <c r="F101" i="9"/>
  <c r="H101" i="9" s="1"/>
  <c r="J101" i="9" s="1"/>
  <c r="L101" i="9" s="1"/>
  <c r="E101" i="9"/>
  <c r="G101" i="9" s="1"/>
  <c r="I101" i="9" s="1"/>
  <c r="K101" i="9" s="1"/>
  <c r="F100" i="9"/>
  <c r="H100" i="9" s="1"/>
  <c r="J100" i="9" s="1"/>
  <c r="L100" i="9" s="1"/>
  <c r="E100" i="9"/>
  <c r="G100" i="9" s="1"/>
  <c r="I100" i="9" s="1"/>
  <c r="K100" i="9" s="1"/>
  <c r="F99" i="9"/>
  <c r="H99" i="9" s="1"/>
  <c r="J99" i="9" s="1"/>
  <c r="L99" i="9" s="1"/>
  <c r="E99" i="9"/>
  <c r="G99" i="9" s="1"/>
  <c r="I99" i="9" s="1"/>
  <c r="K99" i="9" s="1"/>
  <c r="F98" i="9"/>
  <c r="H98" i="9" s="1"/>
  <c r="J98" i="9" s="1"/>
  <c r="L98" i="9" s="1"/>
  <c r="E98" i="9"/>
  <c r="G98" i="9" s="1"/>
  <c r="I98" i="9" s="1"/>
  <c r="K98" i="9" s="1"/>
  <c r="F97" i="9"/>
  <c r="H97" i="9" s="1"/>
  <c r="J97" i="9" s="1"/>
  <c r="L97" i="9" s="1"/>
  <c r="E97" i="9"/>
  <c r="G97" i="9" s="1"/>
  <c r="I97" i="9" s="1"/>
  <c r="K97" i="9" s="1"/>
  <c r="F96" i="9"/>
  <c r="H96" i="9" s="1"/>
  <c r="J96" i="9" s="1"/>
  <c r="L96" i="9" s="1"/>
  <c r="E96" i="9"/>
  <c r="G96" i="9" s="1"/>
  <c r="I96" i="9" s="1"/>
  <c r="K96" i="9" s="1"/>
  <c r="F95" i="9"/>
  <c r="H95" i="9" s="1"/>
  <c r="J95" i="9" s="1"/>
  <c r="L95" i="9" s="1"/>
  <c r="E95" i="9"/>
  <c r="G95" i="9" s="1"/>
  <c r="I95" i="9" s="1"/>
  <c r="K95" i="9" s="1"/>
  <c r="F94" i="9"/>
  <c r="E94" i="9"/>
  <c r="F93" i="9"/>
  <c r="H93" i="9" s="1"/>
  <c r="E93" i="9"/>
  <c r="G93" i="9" s="1"/>
  <c r="I93" i="9" s="1"/>
  <c r="K93" i="9" s="1"/>
  <c r="F92" i="9"/>
  <c r="H92" i="9" s="1"/>
  <c r="E92" i="9"/>
  <c r="G92" i="9" s="1"/>
  <c r="I92" i="9" s="1"/>
  <c r="K92" i="9" s="1"/>
  <c r="F91" i="9"/>
  <c r="H91" i="9" s="1"/>
  <c r="E91" i="9"/>
  <c r="G91" i="9" s="1"/>
  <c r="I91" i="9" s="1"/>
  <c r="K91" i="9" s="1"/>
  <c r="F90" i="9"/>
  <c r="E90" i="9"/>
  <c r="G90" i="9" s="1"/>
  <c r="I90" i="9" s="1"/>
  <c r="K90" i="9" s="1"/>
  <c r="F89" i="9"/>
  <c r="H89" i="9" s="1"/>
  <c r="E89" i="9"/>
  <c r="G89" i="9" s="1"/>
  <c r="I89" i="9" s="1"/>
  <c r="K89" i="9" s="1"/>
  <c r="F88" i="9"/>
  <c r="E88" i="9"/>
  <c r="G88" i="9" s="1"/>
  <c r="I88" i="9" s="1"/>
  <c r="K88" i="9" s="1"/>
  <c r="F87" i="9"/>
  <c r="E87" i="9"/>
  <c r="G87" i="9" s="1"/>
  <c r="I87" i="9" s="1"/>
  <c r="K87" i="9" s="1"/>
  <c r="F86" i="9"/>
  <c r="H86" i="9" s="1"/>
  <c r="E86" i="9"/>
  <c r="G86" i="9" s="1"/>
  <c r="I86" i="9" s="1"/>
  <c r="K86" i="9" s="1"/>
  <c r="F85" i="9"/>
  <c r="H85" i="9" s="1"/>
  <c r="E85" i="9"/>
  <c r="G85" i="9" s="1"/>
  <c r="I85" i="9" s="1"/>
  <c r="K85" i="9" s="1"/>
  <c r="F84" i="9"/>
  <c r="H84" i="9" s="1"/>
  <c r="E84" i="9"/>
  <c r="G84" i="9" s="1"/>
  <c r="I84" i="9" s="1"/>
  <c r="K84" i="9" s="1"/>
  <c r="F83" i="9"/>
  <c r="H83" i="9" s="1"/>
  <c r="E83" i="9"/>
  <c r="G83" i="9" s="1"/>
  <c r="I83" i="9" s="1"/>
  <c r="K83" i="9" s="1"/>
  <c r="F82" i="9"/>
  <c r="H82" i="9" s="1"/>
  <c r="E82" i="9"/>
  <c r="G82" i="9" s="1"/>
  <c r="I82" i="9" s="1"/>
  <c r="K82" i="9" s="1"/>
  <c r="F81" i="9"/>
  <c r="H81" i="9" s="1"/>
  <c r="E81" i="9"/>
  <c r="G81" i="9" s="1"/>
  <c r="I81" i="9" s="1"/>
  <c r="K81" i="9" s="1"/>
  <c r="F80" i="9"/>
  <c r="E80" i="9"/>
  <c r="G80" i="9" s="1"/>
  <c r="I80" i="9" s="1"/>
  <c r="K80" i="9" s="1"/>
  <c r="F79" i="9"/>
  <c r="H79" i="9" s="1"/>
  <c r="E79" i="9"/>
  <c r="G79" i="9" s="1"/>
  <c r="I79" i="9" s="1"/>
  <c r="K79" i="9" s="1"/>
  <c r="F78" i="9"/>
  <c r="H78" i="9" s="1"/>
  <c r="E78" i="9"/>
  <c r="G78" i="9" s="1"/>
  <c r="I78" i="9" s="1"/>
  <c r="K78" i="9" s="1"/>
  <c r="F77" i="9"/>
  <c r="H77" i="9" s="1"/>
  <c r="E77" i="9"/>
  <c r="G77" i="9" s="1"/>
  <c r="I77" i="9" s="1"/>
  <c r="K77" i="9" s="1"/>
  <c r="F76" i="9"/>
  <c r="H76" i="9" s="1"/>
  <c r="E76" i="9"/>
  <c r="G76" i="9" s="1"/>
  <c r="I76" i="9" s="1"/>
  <c r="K76" i="9" s="1"/>
  <c r="F75" i="9"/>
  <c r="H75" i="9" s="1"/>
  <c r="E75" i="9"/>
  <c r="G75" i="9" s="1"/>
  <c r="I75" i="9" s="1"/>
  <c r="K75" i="9" s="1"/>
  <c r="F74" i="9"/>
  <c r="E74" i="9"/>
  <c r="G74" i="9" s="1"/>
  <c r="I74" i="9" s="1"/>
  <c r="K74" i="9" s="1"/>
  <c r="F73" i="9"/>
  <c r="H73" i="9" s="1"/>
  <c r="E73" i="9"/>
  <c r="G73" i="9" s="1"/>
  <c r="I73" i="9" s="1"/>
  <c r="K73" i="9" s="1"/>
  <c r="F72" i="9"/>
  <c r="H72" i="9" s="1"/>
  <c r="E72" i="9"/>
  <c r="G72" i="9" s="1"/>
  <c r="I72" i="9" s="1"/>
  <c r="K72" i="9" s="1"/>
  <c r="F71" i="9"/>
  <c r="E71" i="9"/>
  <c r="G71" i="9" s="1"/>
  <c r="I71" i="9" s="1"/>
  <c r="K71" i="9" s="1"/>
  <c r="F70" i="9"/>
  <c r="H70" i="9" s="1"/>
  <c r="E70" i="9"/>
  <c r="G70" i="9" s="1"/>
  <c r="I70" i="9" s="1"/>
  <c r="K70" i="9" s="1"/>
  <c r="F69" i="9"/>
  <c r="H69" i="9" s="1"/>
  <c r="J69" i="9" s="1"/>
  <c r="L69" i="9" s="1"/>
  <c r="E69" i="9"/>
  <c r="G69" i="9" s="1"/>
  <c r="I69" i="9" s="1"/>
  <c r="F68" i="9"/>
  <c r="H68" i="9" s="1"/>
  <c r="J68" i="9" s="1"/>
  <c r="L68" i="9" s="1"/>
  <c r="E68" i="9"/>
  <c r="G68" i="9" s="1"/>
  <c r="I68" i="9" s="1"/>
  <c r="K68" i="9" s="1"/>
  <c r="F67" i="9"/>
  <c r="H67" i="9" s="1"/>
  <c r="J67" i="9" s="1"/>
  <c r="L67" i="9" s="1"/>
  <c r="E67" i="9"/>
  <c r="G67" i="9" s="1"/>
  <c r="I67" i="9" s="1"/>
  <c r="K67" i="9" s="1"/>
  <c r="F66" i="9"/>
  <c r="H66" i="9" s="1"/>
  <c r="J66" i="9" s="1"/>
  <c r="L66" i="9" s="1"/>
  <c r="E66" i="9"/>
  <c r="G66" i="9" s="1"/>
  <c r="I66" i="9" s="1"/>
  <c r="K66" i="9" s="1"/>
  <c r="F65" i="9"/>
  <c r="H65" i="9" s="1"/>
  <c r="J65" i="9" s="1"/>
  <c r="L65" i="9" s="1"/>
  <c r="E65" i="9"/>
  <c r="G65" i="9" s="1"/>
  <c r="I65" i="9" s="1"/>
  <c r="K65" i="9" s="1"/>
  <c r="F64" i="9"/>
  <c r="E64" i="9"/>
  <c r="H63" i="9"/>
  <c r="J63" i="9" s="1"/>
  <c r="L63" i="9" s="1"/>
  <c r="G63" i="9"/>
  <c r="I63" i="9" s="1"/>
  <c r="K63" i="9" s="1"/>
  <c r="H62" i="9"/>
  <c r="J62" i="9" s="1"/>
  <c r="L62" i="9" s="1"/>
  <c r="G62" i="9"/>
  <c r="I62" i="9" s="1"/>
  <c r="K62" i="9" s="1"/>
  <c r="H61" i="9"/>
  <c r="J61" i="9" s="1"/>
  <c r="L61" i="9" s="1"/>
  <c r="G61" i="9"/>
  <c r="I61" i="9" s="1"/>
  <c r="K61" i="9" s="1"/>
  <c r="H60" i="9"/>
  <c r="J60" i="9" s="1"/>
  <c r="L60" i="9" s="1"/>
  <c r="G60" i="9"/>
  <c r="I60" i="9" s="1"/>
  <c r="K60" i="9" s="1"/>
  <c r="H59" i="9"/>
  <c r="J59" i="9" s="1"/>
  <c r="L59" i="9" s="1"/>
  <c r="G59" i="9"/>
  <c r="I59" i="9" s="1"/>
  <c r="K59" i="9" s="1"/>
  <c r="H58" i="9"/>
  <c r="J58" i="9" s="1"/>
  <c r="L58" i="9" s="1"/>
  <c r="G58" i="9"/>
  <c r="I58" i="9" s="1"/>
  <c r="K58" i="9" s="1"/>
  <c r="H57" i="9"/>
  <c r="J57" i="9" s="1"/>
  <c r="L57" i="9" s="1"/>
  <c r="G57" i="9"/>
  <c r="I57" i="9" s="1"/>
  <c r="K57" i="9" s="1"/>
  <c r="H56" i="9"/>
  <c r="J56" i="9" s="1"/>
  <c r="L56" i="9" s="1"/>
  <c r="G56" i="9"/>
  <c r="I56" i="9" s="1"/>
  <c r="K56" i="9" s="1"/>
  <c r="H55" i="9"/>
  <c r="J55" i="9" s="1"/>
  <c r="L55" i="9" s="1"/>
  <c r="G55" i="9"/>
  <c r="I55" i="9" s="1"/>
  <c r="K55" i="9" s="1"/>
  <c r="H54" i="9"/>
  <c r="J54" i="9" s="1"/>
  <c r="L54" i="9" s="1"/>
  <c r="G54" i="9"/>
  <c r="I54" i="9" s="1"/>
  <c r="K54" i="9" s="1"/>
  <c r="H53" i="9"/>
  <c r="J53" i="9" s="1"/>
  <c r="L53" i="9" s="1"/>
  <c r="G53" i="9"/>
  <c r="I53" i="9" s="1"/>
  <c r="K53" i="9" s="1"/>
  <c r="H52" i="9"/>
  <c r="J52" i="9" s="1"/>
  <c r="L52" i="9" s="1"/>
  <c r="G52" i="9"/>
  <c r="I52" i="9" s="1"/>
  <c r="K52" i="9" s="1"/>
  <c r="H51" i="9"/>
  <c r="J51" i="9" s="1"/>
  <c r="L51" i="9" s="1"/>
  <c r="G51" i="9"/>
  <c r="I51" i="9" s="1"/>
  <c r="K51" i="9" s="1"/>
  <c r="H50" i="9"/>
  <c r="J50" i="9" s="1"/>
  <c r="L50" i="9" s="1"/>
  <c r="G50" i="9"/>
  <c r="I50" i="9" s="1"/>
  <c r="K50" i="9" s="1"/>
  <c r="H49" i="9"/>
  <c r="J49" i="9" s="1"/>
  <c r="L49" i="9" s="1"/>
  <c r="G49" i="9"/>
  <c r="I49" i="9" s="1"/>
  <c r="K49" i="9" s="1"/>
  <c r="H48" i="9"/>
  <c r="J48" i="9" s="1"/>
  <c r="L48" i="9" s="1"/>
  <c r="G48" i="9"/>
  <c r="I48" i="9" s="1"/>
  <c r="K48" i="9" s="1"/>
  <c r="H47" i="9"/>
  <c r="J47" i="9" s="1"/>
  <c r="L47" i="9" s="1"/>
  <c r="G47" i="9"/>
  <c r="I47" i="9" s="1"/>
  <c r="K47" i="9" s="1"/>
  <c r="H46" i="9"/>
  <c r="J46" i="9" s="1"/>
  <c r="L46" i="9" s="1"/>
  <c r="G46" i="9"/>
  <c r="I46" i="9" s="1"/>
  <c r="K46" i="9" s="1"/>
  <c r="H45" i="9"/>
  <c r="J45" i="9" s="1"/>
  <c r="L45" i="9" s="1"/>
  <c r="G45" i="9"/>
  <c r="I45" i="9" s="1"/>
  <c r="K45" i="9" s="1"/>
  <c r="H44" i="9"/>
  <c r="J44" i="9" s="1"/>
  <c r="L44" i="9" s="1"/>
  <c r="G44" i="9"/>
  <c r="I44" i="9" s="1"/>
  <c r="K44" i="9" s="1"/>
  <c r="H43" i="9"/>
  <c r="J43" i="9" s="1"/>
  <c r="L43" i="9" s="1"/>
  <c r="G43" i="9"/>
  <c r="I43" i="9" s="1"/>
  <c r="K43" i="9" s="1"/>
  <c r="H42" i="9"/>
  <c r="J42" i="9" s="1"/>
  <c r="L42" i="9" s="1"/>
  <c r="G42" i="9"/>
  <c r="I42" i="9" s="1"/>
  <c r="K42" i="9" s="1"/>
  <c r="H41" i="9"/>
  <c r="J41" i="9" s="1"/>
  <c r="L41" i="9" s="1"/>
  <c r="G41" i="9"/>
  <c r="I41" i="9" s="1"/>
  <c r="K41" i="9" s="1"/>
  <c r="H40" i="9"/>
  <c r="J40" i="9" s="1"/>
  <c r="L40" i="9" s="1"/>
  <c r="G40" i="9"/>
  <c r="I40" i="9" s="1"/>
  <c r="K40" i="9" s="1"/>
  <c r="H39" i="9"/>
  <c r="J39" i="9" s="1"/>
  <c r="L39" i="9" s="1"/>
  <c r="G39" i="9"/>
  <c r="I39" i="9" s="1"/>
  <c r="K39" i="9" s="1"/>
  <c r="H38" i="9"/>
  <c r="J38" i="9" s="1"/>
  <c r="L38" i="9" s="1"/>
  <c r="G38" i="9"/>
  <c r="I38" i="9" s="1"/>
  <c r="K38" i="9" s="1"/>
  <c r="H37" i="9"/>
  <c r="J37" i="9" s="1"/>
  <c r="L37" i="9" s="1"/>
  <c r="G37" i="9"/>
  <c r="I37" i="9" s="1"/>
  <c r="K37" i="9" s="1"/>
  <c r="H36" i="9"/>
  <c r="J36" i="9" s="1"/>
  <c r="L36" i="9" s="1"/>
  <c r="G36" i="9"/>
  <c r="I36" i="9" s="1"/>
  <c r="K36" i="9" s="1"/>
  <c r="H35" i="9"/>
  <c r="J35" i="9" s="1"/>
  <c r="L35" i="9" s="1"/>
  <c r="G35" i="9"/>
  <c r="I35" i="9" s="1"/>
  <c r="K35" i="9" s="1"/>
  <c r="H34" i="9"/>
  <c r="J34" i="9" s="1"/>
  <c r="L34" i="9" s="1"/>
  <c r="G34" i="9"/>
  <c r="I34" i="9" s="1"/>
  <c r="K34" i="9" s="1"/>
  <c r="F32" i="9"/>
  <c r="H32" i="9" s="1"/>
  <c r="J32" i="9" s="1"/>
  <c r="L32" i="9" s="1"/>
  <c r="E32" i="9"/>
  <c r="G32" i="9" s="1"/>
  <c r="I32" i="9" s="1"/>
  <c r="K32" i="9" s="1"/>
  <c r="F31" i="9"/>
  <c r="H31" i="9" s="1"/>
  <c r="J31" i="9" s="1"/>
  <c r="L31" i="9" s="1"/>
  <c r="E31" i="9"/>
  <c r="G31" i="9" s="1"/>
  <c r="I31" i="9" s="1"/>
  <c r="K31" i="9" s="1"/>
  <c r="F30" i="9"/>
  <c r="H30" i="9" s="1"/>
  <c r="J30" i="9" s="1"/>
  <c r="L30" i="9" s="1"/>
  <c r="E30" i="9"/>
  <c r="G30" i="9" s="1"/>
  <c r="I30" i="9" s="1"/>
  <c r="K30" i="9" s="1"/>
  <c r="F29" i="9"/>
  <c r="H29" i="9" s="1"/>
  <c r="J29" i="9" s="1"/>
  <c r="L29" i="9" s="1"/>
  <c r="E29" i="9"/>
  <c r="G29" i="9" s="1"/>
  <c r="I29" i="9" s="1"/>
  <c r="K29" i="9" s="1"/>
  <c r="F28" i="9"/>
  <c r="H28" i="9" s="1"/>
  <c r="J28" i="9" s="1"/>
  <c r="L28" i="9" s="1"/>
  <c r="E28" i="9"/>
  <c r="G28" i="9" s="1"/>
  <c r="I28" i="9" s="1"/>
  <c r="K28" i="9" s="1"/>
  <c r="F27" i="9"/>
  <c r="H27" i="9" s="1"/>
  <c r="J27" i="9" s="1"/>
  <c r="L27" i="9" s="1"/>
  <c r="E27" i="9"/>
  <c r="G27" i="9" s="1"/>
  <c r="I27" i="9" s="1"/>
  <c r="K27" i="9" s="1"/>
  <c r="F26" i="9"/>
  <c r="H26" i="9" s="1"/>
  <c r="J26" i="9" s="1"/>
  <c r="L26" i="9" s="1"/>
  <c r="E26" i="9"/>
  <c r="G26" i="9" s="1"/>
  <c r="I26" i="9" s="1"/>
  <c r="K26" i="9" s="1"/>
  <c r="F25" i="9"/>
  <c r="H25" i="9" s="1"/>
  <c r="J25" i="9" s="1"/>
  <c r="L25" i="9" s="1"/>
  <c r="E25" i="9"/>
  <c r="G25" i="9" s="1"/>
  <c r="I25" i="9" s="1"/>
  <c r="K25" i="9" s="1"/>
  <c r="F24" i="9"/>
  <c r="H24" i="9" s="1"/>
  <c r="J24" i="9" s="1"/>
  <c r="L24" i="9" s="1"/>
  <c r="E24" i="9"/>
  <c r="G24" i="9" s="1"/>
  <c r="I24" i="9" s="1"/>
  <c r="K24" i="9" s="1"/>
  <c r="F23" i="9"/>
  <c r="H23" i="9" s="1"/>
  <c r="J23" i="9" s="1"/>
  <c r="L23" i="9" s="1"/>
  <c r="E23" i="9"/>
  <c r="G23" i="9" s="1"/>
  <c r="I23" i="9" s="1"/>
  <c r="K23" i="9" s="1"/>
  <c r="F22" i="9"/>
  <c r="H22" i="9" s="1"/>
  <c r="J22" i="9" s="1"/>
  <c r="L22" i="9" s="1"/>
  <c r="E22" i="9"/>
  <c r="G22" i="9" s="1"/>
  <c r="I22" i="9" s="1"/>
  <c r="K22" i="9" s="1"/>
  <c r="F21" i="9"/>
  <c r="H21" i="9" s="1"/>
  <c r="J21" i="9" s="1"/>
  <c r="L21" i="9" s="1"/>
  <c r="E21" i="9"/>
  <c r="G21" i="9" s="1"/>
  <c r="I21" i="9" s="1"/>
  <c r="K21" i="9" s="1"/>
  <c r="F20" i="9"/>
  <c r="H20" i="9" s="1"/>
  <c r="J20" i="9" s="1"/>
  <c r="L20" i="9" s="1"/>
  <c r="E20" i="9"/>
  <c r="G20" i="9" s="1"/>
  <c r="I20" i="9" s="1"/>
  <c r="K20" i="9" s="1"/>
  <c r="F19" i="9"/>
  <c r="H19" i="9" s="1"/>
  <c r="J19" i="9" s="1"/>
  <c r="L19" i="9" s="1"/>
  <c r="E19" i="9"/>
  <c r="G19" i="9" s="1"/>
  <c r="I19" i="9" s="1"/>
  <c r="K19" i="9" s="1"/>
  <c r="F18" i="9"/>
  <c r="H18" i="9" s="1"/>
  <c r="J18" i="9" s="1"/>
  <c r="L18" i="9" s="1"/>
  <c r="E18" i="9"/>
  <c r="G18" i="9" s="1"/>
  <c r="I18" i="9" s="1"/>
  <c r="K18" i="9" s="1"/>
  <c r="F17" i="9"/>
  <c r="H17" i="9" s="1"/>
  <c r="J17" i="9" s="1"/>
  <c r="L17" i="9" s="1"/>
  <c r="E17" i="9"/>
  <c r="G17" i="9" s="1"/>
  <c r="I17" i="9" s="1"/>
  <c r="K17" i="9" s="1"/>
  <c r="F16" i="9"/>
  <c r="H16" i="9" s="1"/>
  <c r="J16" i="9" s="1"/>
  <c r="L16" i="9" s="1"/>
  <c r="E16" i="9"/>
  <c r="G16" i="9" s="1"/>
  <c r="I16" i="9" s="1"/>
  <c r="K16" i="9" s="1"/>
  <c r="F15" i="9"/>
  <c r="H15" i="9" s="1"/>
  <c r="J15" i="9" s="1"/>
  <c r="L15" i="9" s="1"/>
  <c r="E15" i="9"/>
  <c r="G15" i="9" s="1"/>
  <c r="I15" i="9" s="1"/>
  <c r="K15" i="9" s="1"/>
  <c r="F14" i="9"/>
  <c r="H14" i="9" s="1"/>
  <c r="J14" i="9" s="1"/>
  <c r="L14" i="9" s="1"/>
  <c r="E14" i="9"/>
  <c r="G14" i="9" s="1"/>
  <c r="I14" i="9" s="1"/>
  <c r="K14" i="9" s="1"/>
  <c r="F13" i="9"/>
  <c r="H13" i="9" s="1"/>
  <c r="J13" i="9" s="1"/>
  <c r="L13" i="9" s="1"/>
  <c r="E13" i="9"/>
  <c r="G13" i="9" s="1"/>
  <c r="I13" i="9" s="1"/>
  <c r="K13" i="9" s="1"/>
  <c r="F12" i="9"/>
  <c r="H12" i="9" s="1"/>
  <c r="J12" i="9" s="1"/>
  <c r="L12" i="9" s="1"/>
  <c r="E12" i="9"/>
  <c r="G12" i="9" s="1"/>
  <c r="I12" i="9" s="1"/>
  <c r="K12" i="9" s="1"/>
  <c r="F11" i="9"/>
  <c r="H11" i="9" s="1"/>
  <c r="J11" i="9" s="1"/>
  <c r="L11" i="9" s="1"/>
  <c r="E11" i="9"/>
  <c r="G11" i="9" s="1"/>
  <c r="I11" i="9" s="1"/>
  <c r="K11" i="9" s="1"/>
  <c r="F10" i="9"/>
  <c r="H10" i="9" s="1"/>
  <c r="J10" i="9" s="1"/>
  <c r="L10" i="9" s="1"/>
  <c r="E10" i="9"/>
  <c r="G10" i="9" s="1"/>
  <c r="I10" i="9" s="1"/>
  <c r="K10" i="9" s="1"/>
  <c r="F9" i="9"/>
  <c r="H9" i="9" s="1"/>
  <c r="J9" i="9" s="1"/>
  <c r="L9" i="9" s="1"/>
  <c r="E9" i="9"/>
  <c r="G9" i="9" s="1"/>
  <c r="I9" i="9" s="1"/>
  <c r="K9" i="9" s="1"/>
  <c r="F8" i="9"/>
  <c r="H8" i="9" s="1"/>
  <c r="J8" i="9" s="1"/>
  <c r="L8" i="9" s="1"/>
  <c r="E8" i="9"/>
  <c r="G8" i="9" s="1"/>
  <c r="I8" i="9" s="1"/>
  <c r="K8" i="9" s="1"/>
  <c r="F7" i="9"/>
  <c r="H7" i="9" s="1"/>
  <c r="J7" i="9" s="1"/>
  <c r="L7" i="9" s="1"/>
  <c r="E7" i="9"/>
  <c r="G7" i="9" s="1"/>
  <c r="I7" i="9" s="1"/>
  <c r="K7" i="9" s="1"/>
  <c r="F6" i="9"/>
  <c r="H6" i="9" s="1"/>
  <c r="J6" i="9" s="1"/>
  <c r="L6" i="9" s="1"/>
  <c r="E6" i="9"/>
  <c r="G6" i="9" s="1"/>
  <c r="I6" i="9" s="1"/>
  <c r="K6" i="9" s="1"/>
  <c r="F5" i="9"/>
  <c r="H5" i="9" s="1"/>
  <c r="J5" i="9" s="1"/>
  <c r="L5" i="9" s="1"/>
  <c r="E5" i="9"/>
  <c r="G5" i="9" s="1"/>
  <c r="I5" i="9" s="1"/>
  <c r="K5" i="9" s="1"/>
  <c r="F4" i="9"/>
  <c r="H4" i="9" s="1"/>
  <c r="J4" i="9" s="1"/>
  <c r="L4" i="9" s="1"/>
  <c r="E4" i="9"/>
  <c r="G4" i="9" s="1"/>
  <c r="I4" i="9" s="1"/>
  <c r="K4" i="9" s="1"/>
  <c r="F3" i="9"/>
  <c r="H3" i="9" s="1"/>
  <c r="J3" i="9" s="1"/>
  <c r="L3" i="9" s="1"/>
  <c r="E3" i="9"/>
  <c r="F2" i="9"/>
  <c r="E2" i="9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D36" i="7"/>
  <c r="D26" i="7"/>
  <c r="U28" i="4"/>
  <c r="U30" i="4" s="1"/>
  <c r="U32" i="4" s="1"/>
  <c r="U34" i="4" s="1"/>
  <c r="U29" i="4"/>
  <c r="U31" i="4" s="1"/>
  <c r="U33" i="4" s="1"/>
  <c r="U35" i="4" s="1"/>
  <c r="H87" i="9" l="1"/>
  <c r="J87" i="9" s="1"/>
  <c r="L87" i="9" s="1"/>
  <c r="H71" i="9"/>
  <c r="J71" i="9" s="1"/>
  <c r="L71" i="9" s="1"/>
  <c r="J86" i="9"/>
  <c r="L86" i="9" s="1"/>
  <c r="J70" i="9"/>
  <c r="L70" i="9" s="1"/>
  <c r="N70" i="9" s="1"/>
  <c r="J75" i="9"/>
  <c r="L75" i="9" s="1"/>
  <c r="N75" i="9" s="1"/>
  <c r="J91" i="9"/>
  <c r="L91" i="9" s="1"/>
  <c r="N91" i="9" s="1"/>
  <c r="H90" i="9"/>
  <c r="J90" i="9" s="1"/>
  <c r="L90" i="9" s="1"/>
  <c r="H74" i="9"/>
  <c r="J74" i="9" s="1"/>
  <c r="L74" i="9" s="1"/>
  <c r="J82" i="9"/>
  <c r="L82" i="9" s="1"/>
  <c r="N82" i="9" s="1"/>
  <c r="J79" i="9"/>
  <c r="L79" i="9" s="1"/>
  <c r="N79" i="9" s="1"/>
  <c r="J76" i="9"/>
  <c r="L76" i="9" s="1"/>
  <c r="M76" i="9" s="1"/>
  <c r="J84" i="9"/>
  <c r="L84" i="9" s="1"/>
  <c r="N84" i="9" s="1"/>
  <c r="J92" i="9"/>
  <c r="L92" i="9" s="1"/>
  <c r="N92" i="9" s="1"/>
  <c r="J78" i="9"/>
  <c r="L78" i="9" s="1"/>
  <c r="N78" i="9" s="1"/>
  <c r="J83" i="9"/>
  <c r="L83" i="9" s="1"/>
  <c r="N83" i="9" s="1"/>
  <c r="G3" i="9"/>
  <c r="I3" i="9" s="1"/>
  <c r="K3" i="9" s="1"/>
  <c r="N3" i="9" s="1"/>
  <c r="K69" i="9"/>
  <c r="N69" i="9" s="1"/>
  <c r="H88" i="9"/>
  <c r="J88" i="9" s="1"/>
  <c r="L88" i="9" s="1"/>
  <c r="H80" i="9"/>
  <c r="J80" i="9" s="1"/>
  <c r="L80" i="9" s="1"/>
  <c r="J72" i="9"/>
  <c r="L72" i="9" s="1"/>
  <c r="M72" i="9" s="1"/>
  <c r="J73" i="9"/>
  <c r="L73" i="9" s="1"/>
  <c r="N73" i="9" s="1"/>
  <c r="J77" i="9"/>
  <c r="L77" i="9" s="1"/>
  <c r="N77" i="9" s="1"/>
  <c r="J81" i="9"/>
  <c r="L81" i="9" s="1"/>
  <c r="M81" i="9" s="1"/>
  <c r="J85" i="9"/>
  <c r="L85" i="9" s="1"/>
  <c r="M85" i="9" s="1"/>
  <c r="J89" i="9"/>
  <c r="L89" i="9" s="1"/>
  <c r="N89" i="9" s="1"/>
  <c r="J93" i="9"/>
  <c r="L93" i="9" s="1"/>
  <c r="N93" i="9" s="1"/>
  <c r="H120" i="9"/>
  <c r="J120" i="9" s="1"/>
  <c r="L120" i="9" s="1"/>
  <c r="N66" i="9"/>
  <c r="N21" i="9"/>
  <c r="N25" i="9"/>
  <c r="N29" i="9"/>
  <c r="M66" i="9"/>
  <c r="N13" i="9"/>
  <c r="N17" i="9"/>
  <c r="N10" i="9"/>
  <c r="N134" i="9"/>
  <c r="M134" i="9"/>
  <c r="N142" i="9"/>
  <c r="M142" i="9"/>
  <c r="N140" i="9"/>
  <c r="M140" i="9"/>
  <c r="M129" i="9"/>
  <c r="N129" i="9"/>
  <c r="N126" i="9"/>
  <c r="M126" i="9"/>
  <c r="M137" i="9"/>
  <c r="N137" i="9"/>
  <c r="M127" i="9"/>
  <c r="N127" i="9"/>
  <c r="N132" i="9"/>
  <c r="M132" i="9"/>
  <c r="N135" i="9"/>
  <c r="M135" i="9"/>
  <c r="N143" i="9"/>
  <c r="M143" i="9"/>
  <c r="N125" i="9"/>
  <c r="M125" i="9"/>
  <c r="N130" i="9"/>
  <c r="M130" i="9"/>
  <c r="N133" i="9"/>
  <c r="M133" i="9"/>
  <c r="N138" i="9"/>
  <c r="M138" i="9"/>
  <c r="N141" i="9"/>
  <c r="M141" i="9"/>
  <c r="N128" i="9"/>
  <c r="M128" i="9"/>
  <c r="N131" i="9"/>
  <c r="M131" i="9"/>
  <c r="N136" i="9"/>
  <c r="M136" i="9"/>
  <c r="N139" i="9"/>
  <c r="M139" i="9"/>
  <c r="N144" i="9"/>
  <c r="M144" i="9"/>
  <c r="N98" i="9"/>
  <c r="M98" i="9"/>
  <c r="N113" i="9"/>
  <c r="M113" i="9"/>
  <c r="N111" i="9"/>
  <c r="M111" i="9"/>
  <c r="N119" i="9"/>
  <c r="M119" i="9"/>
  <c r="N122" i="9"/>
  <c r="M122" i="9"/>
  <c r="M108" i="9"/>
  <c r="N108" i="9"/>
  <c r="N101" i="9"/>
  <c r="M101" i="9"/>
  <c r="M112" i="9"/>
  <c r="N112" i="9"/>
  <c r="N117" i="9"/>
  <c r="M117" i="9"/>
  <c r="N116" i="9"/>
  <c r="M116" i="9"/>
  <c r="N95" i="9"/>
  <c r="M95" i="9"/>
  <c r="N114" i="9"/>
  <c r="M114" i="9"/>
  <c r="N105" i="9"/>
  <c r="M105" i="9"/>
  <c r="N103" i="9"/>
  <c r="M103" i="9"/>
  <c r="N100" i="9"/>
  <c r="M100" i="9"/>
  <c r="N121" i="9"/>
  <c r="M121" i="9"/>
  <c r="N106" i="9"/>
  <c r="M106" i="9"/>
  <c r="M96" i="9"/>
  <c r="N96" i="9"/>
  <c r="M104" i="9"/>
  <c r="N104" i="9"/>
  <c r="N109" i="9"/>
  <c r="M109" i="9"/>
  <c r="N99" i="9"/>
  <c r="M99" i="9"/>
  <c r="M102" i="9"/>
  <c r="N102" i="9"/>
  <c r="N107" i="9"/>
  <c r="M107" i="9"/>
  <c r="M110" i="9"/>
  <c r="N110" i="9"/>
  <c r="N115" i="9"/>
  <c r="M115" i="9"/>
  <c r="N118" i="9"/>
  <c r="M118" i="9"/>
  <c r="N123" i="9"/>
  <c r="M123" i="9"/>
  <c r="N97" i="9"/>
  <c r="M97" i="9"/>
  <c r="N76" i="9"/>
  <c r="N67" i="9"/>
  <c r="M67" i="9"/>
  <c r="N68" i="9"/>
  <c r="M68" i="9"/>
  <c r="N86" i="9"/>
  <c r="M86" i="9"/>
  <c r="M69" i="9"/>
  <c r="N65" i="9"/>
  <c r="M65" i="9"/>
  <c r="M93" i="9"/>
  <c r="N43" i="9"/>
  <c r="M43" i="9"/>
  <c r="N46" i="9"/>
  <c r="M46" i="9"/>
  <c r="N52" i="9"/>
  <c r="M52" i="9"/>
  <c r="N56" i="9"/>
  <c r="M56" i="9"/>
  <c r="N60" i="9"/>
  <c r="M60" i="9"/>
  <c r="N40" i="9"/>
  <c r="M40" i="9"/>
  <c r="N49" i="9"/>
  <c r="M49" i="9"/>
  <c r="N34" i="9"/>
  <c r="M34" i="9"/>
  <c r="N37" i="9"/>
  <c r="M37" i="9"/>
  <c r="N47" i="9"/>
  <c r="M47" i="9"/>
  <c r="N50" i="9"/>
  <c r="M50" i="9"/>
  <c r="N53" i="9"/>
  <c r="M53" i="9"/>
  <c r="N57" i="9"/>
  <c r="M57" i="9"/>
  <c r="N61" i="9"/>
  <c r="M61" i="9"/>
  <c r="N38" i="9"/>
  <c r="M38" i="9"/>
  <c r="N44" i="9"/>
  <c r="M44" i="9"/>
  <c r="N51" i="9"/>
  <c r="M51" i="9"/>
  <c r="N54" i="9"/>
  <c r="M54" i="9"/>
  <c r="N58" i="9"/>
  <c r="M58" i="9"/>
  <c r="N62" i="9"/>
  <c r="M62" i="9"/>
  <c r="N41" i="9"/>
  <c r="M41" i="9"/>
  <c r="N48" i="9"/>
  <c r="M48" i="9"/>
  <c r="N35" i="9"/>
  <c r="M35" i="9"/>
  <c r="N39" i="9"/>
  <c r="M39" i="9"/>
  <c r="N42" i="9"/>
  <c r="M42" i="9"/>
  <c r="N45" i="9"/>
  <c r="M45" i="9"/>
  <c r="N55" i="9"/>
  <c r="M55" i="9"/>
  <c r="N59" i="9"/>
  <c r="M59" i="9"/>
  <c r="N63" i="9"/>
  <c r="M63" i="9"/>
  <c r="N36" i="9"/>
  <c r="M36" i="9"/>
  <c r="N5" i="9"/>
  <c r="M5" i="9"/>
  <c r="N19" i="9"/>
  <c r="M19" i="9"/>
  <c r="N31" i="9"/>
  <c r="M31" i="9"/>
  <c r="M11" i="9"/>
  <c r="N11" i="9"/>
  <c r="M23" i="9"/>
  <c r="N23" i="9"/>
  <c r="M15" i="9"/>
  <c r="N15" i="9"/>
  <c r="N6" i="9"/>
  <c r="M6" i="9"/>
  <c r="N9" i="9"/>
  <c r="M9" i="9"/>
  <c r="N4" i="9"/>
  <c r="M4" i="9"/>
  <c r="M7" i="9"/>
  <c r="N7" i="9"/>
  <c r="N27" i="9"/>
  <c r="M27" i="9"/>
  <c r="N28" i="9"/>
  <c r="M28" i="9"/>
  <c r="N26" i="9"/>
  <c r="M26" i="9"/>
  <c r="N20" i="9"/>
  <c r="M20" i="9"/>
  <c r="M29" i="9"/>
  <c r="N8" i="9"/>
  <c r="M8" i="9"/>
  <c r="N30" i="9"/>
  <c r="M30" i="9"/>
  <c r="N12" i="9"/>
  <c r="M12" i="9"/>
  <c r="N14" i="9"/>
  <c r="M14" i="9"/>
  <c r="N16" i="9"/>
  <c r="M16" i="9"/>
  <c r="N18" i="9"/>
  <c r="M18" i="9"/>
  <c r="N22" i="9"/>
  <c r="M22" i="9"/>
  <c r="N24" i="9"/>
  <c r="M24" i="9"/>
  <c r="M10" i="9"/>
  <c r="M13" i="9"/>
  <c r="M17" i="9"/>
  <c r="M21" i="9"/>
  <c r="M25" i="9"/>
  <c r="N32" i="9"/>
  <c r="M32" i="9"/>
  <c r="U36" i="4"/>
  <c r="U37" i="4"/>
  <c r="Q27" i="8"/>
  <c r="P27" i="8"/>
  <c r="O27" i="8"/>
  <c r="N27" i="8"/>
  <c r="M27" i="8"/>
  <c r="M29" i="8" s="1"/>
  <c r="M31" i="8" s="1"/>
  <c r="M33" i="8" s="1"/>
  <c r="L27" i="8"/>
  <c r="K27" i="8"/>
  <c r="J27" i="8"/>
  <c r="I27" i="8"/>
  <c r="H27" i="8"/>
  <c r="G27" i="8"/>
  <c r="F27" i="8"/>
  <c r="E27" i="8"/>
  <c r="D27" i="8"/>
  <c r="C27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M84" i="9" l="1"/>
  <c r="M75" i="9"/>
  <c r="O75" i="9" s="1"/>
  <c r="M73" i="9"/>
  <c r="O73" i="9" s="1"/>
  <c r="O127" i="9"/>
  <c r="M91" i="9"/>
  <c r="O91" i="9" s="1"/>
  <c r="N81" i="9"/>
  <c r="O81" i="9" s="1"/>
  <c r="N72" i="9"/>
  <c r="O72" i="9" s="1"/>
  <c r="M80" i="9"/>
  <c r="N80" i="9"/>
  <c r="M77" i="9"/>
  <c r="O77" i="9" s="1"/>
  <c r="M92" i="9"/>
  <c r="O92" i="9" s="1"/>
  <c r="M78" i="9"/>
  <c r="O78" i="9" s="1"/>
  <c r="M74" i="9"/>
  <c r="N74" i="9"/>
  <c r="O74" i="9" s="1"/>
  <c r="N90" i="9"/>
  <c r="M90" i="9"/>
  <c r="N71" i="9"/>
  <c r="M71" i="9"/>
  <c r="M88" i="9"/>
  <c r="N88" i="9"/>
  <c r="N87" i="9"/>
  <c r="M87" i="9"/>
  <c r="M70" i="9"/>
  <c r="O70" i="9" s="1"/>
  <c r="M79" i="9"/>
  <c r="O79" i="9" s="1"/>
  <c r="M3" i="9"/>
  <c r="O3" i="9" s="1"/>
  <c r="M83" i="9"/>
  <c r="O83" i="9" s="1"/>
  <c r="O66" i="9"/>
  <c r="M82" i="9"/>
  <c r="O82" i="9" s="1"/>
  <c r="N85" i="9"/>
  <c r="O85" i="9" s="1"/>
  <c r="M89" i="9"/>
  <c r="O89" i="9" s="1"/>
  <c r="N120" i="9"/>
  <c r="M120" i="9"/>
  <c r="O7" i="9"/>
  <c r="O15" i="9"/>
  <c r="O104" i="9"/>
  <c r="O112" i="9"/>
  <c r="O129" i="9"/>
  <c r="O10" i="9"/>
  <c r="O102" i="9"/>
  <c r="O96" i="9"/>
  <c r="O11" i="9"/>
  <c r="O19" i="9"/>
  <c r="O103" i="9"/>
  <c r="O25" i="9"/>
  <c r="O4" i="9"/>
  <c r="O39" i="9"/>
  <c r="O53" i="9"/>
  <c r="O18" i="9"/>
  <c r="O93" i="9"/>
  <c r="O65" i="9"/>
  <c r="O86" i="9"/>
  <c r="O108" i="9"/>
  <c r="O137" i="9"/>
  <c r="O21" i="9"/>
  <c r="O26" i="9"/>
  <c r="O59" i="9"/>
  <c r="O44" i="9"/>
  <c r="O34" i="9"/>
  <c r="O67" i="9"/>
  <c r="O110" i="9"/>
  <c r="O100" i="9"/>
  <c r="O62" i="9"/>
  <c r="O56" i="9"/>
  <c r="O30" i="9"/>
  <c r="O17" i="9"/>
  <c r="O29" i="9"/>
  <c r="O38" i="9"/>
  <c r="O52" i="9"/>
  <c r="O76" i="9"/>
  <c r="O106" i="9"/>
  <c r="O138" i="9"/>
  <c r="O8" i="9"/>
  <c r="O13" i="9"/>
  <c r="O27" i="9"/>
  <c r="O6" i="9"/>
  <c r="O36" i="9"/>
  <c r="O45" i="9"/>
  <c r="O48" i="9"/>
  <c r="O54" i="9"/>
  <c r="O61" i="9"/>
  <c r="O47" i="9"/>
  <c r="O40" i="9"/>
  <c r="O46" i="9"/>
  <c r="O84" i="9"/>
  <c r="O97" i="9"/>
  <c r="O109" i="9"/>
  <c r="O121" i="9"/>
  <c r="O114" i="9"/>
  <c r="O117" i="9"/>
  <c r="O122" i="9"/>
  <c r="O98" i="9"/>
  <c r="O131" i="9"/>
  <c r="O133" i="9"/>
  <c r="O135" i="9"/>
  <c r="O126" i="9"/>
  <c r="O134" i="9"/>
  <c r="O55" i="9"/>
  <c r="O9" i="9"/>
  <c r="O5" i="9"/>
  <c r="O58" i="9"/>
  <c r="O49" i="9"/>
  <c r="O99" i="9"/>
  <c r="O136" i="9"/>
  <c r="O143" i="9"/>
  <c r="O68" i="9"/>
  <c r="O24" i="9"/>
  <c r="O32" i="9"/>
  <c r="O20" i="9"/>
  <c r="O63" i="9"/>
  <c r="O42" i="9"/>
  <c r="O57" i="9"/>
  <c r="O60" i="9"/>
  <c r="O107" i="9"/>
  <c r="O95" i="9"/>
  <c r="O144" i="9"/>
  <c r="O130" i="9"/>
  <c r="O22" i="9"/>
  <c r="O12" i="9"/>
  <c r="O23" i="9"/>
  <c r="O28" i="9"/>
  <c r="O35" i="9"/>
  <c r="O50" i="9"/>
  <c r="O115" i="9"/>
  <c r="O105" i="9"/>
  <c r="O113" i="9"/>
  <c r="O142" i="9"/>
  <c r="O16" i="9"/>
  <c r="O69" i="9"/>
  <c r="O14" i="9"/>
  <c r="O31" i="9"/>
  <c r="O41" i="9"/>
  <c r="O51" i="9"/>
  <c r="O37" i="9"/>
  <c r="O43" i="9"/>
  <c r="O123" i="9"/>
  <c r="O119" i="9"/>
  <c r="O128" i="9"/>
  <c r="O132" i="9"/>
  <c r="O118" i="9"/>
  <c r="O116" i="9"/>
  <c r="O101" i="9"/>
  <c r="O111" i="9"/>
  <c r="O139" i="9"/>
  <c r="O141" i="9"/>
  <c r="O125" i="9"/>
  <c r="O140" i="9"/>
  <c r="G29" i="8"/>
  <c r="G31" i="8" s="1"/>
  <c r="G33" i="8" s="1"/>
  <c r="N28" i="8"/>
  <c r="N30" i="8" s="1"/>
  <c r="N32" i="8" s="1"/>
  <c r="D29" i="8"/>
  <c r="D31" i="8" s="1"/>
  <c r="D33" i="8" s="1"/>
  <c r="E29" i="8"/>
  <c r="E31" i="8" s="1"/>
  <c r="E33" i="8" s="1"/>
  <c r="M28" i="8"/>
  <c r="M30" i="8" s="1"/>
  <c r="M32" i="8" s="1"/>
  <c r="M35" i="8" s="1"/>
  <c r="F29" i="8"/>
  <c r="F31" i="8" s="1"/>
  <c r="F33" i="8" s="1"/>
  <c r="G28" i="8"/>
  <c r="G30" i="8" s="1"/>
  <c r="G32" i="8" s="1"/>
  <c r="O28" i="8"/>
  <c r="O30" i="8" s="1"/>
  <c r="O32" i="8" s="1"/>
  <c r="N29" i="8"/>
  <c r="N31" i="8" s="1"/>
  <c r="N33" i="8" s="1"/>
  <c r="I29" i="8"/>
  <c r="I31" i="8" s="1"/>
  <c r="I33" i="8" s="1"/>
  <c r="D28" i="8"/>
  <c r="D30" i="8" s="1"/>
  <c r="D32" i="8" s="1"/>
  <c r="D34" i="8" s="1"/>
  <c r="L28" i="8"/>
  <c r="L30" i="8" s="1"/>
  <c r="L32" i="8" s="1"/>
  <c r="E28" i="8"/>
  <c r="E30" i="8" s="1"/>
  <c r="E32" i="8" s="1"/>
  <c r="E34" i="8" s="1"/>
  <c r="I28" i="8"/>
  <c r="I30" i="8" s="1"/>
  <c r="I32" i="8" s="1"/>
  <c r="Q28" i="8"/>
  <c r="Q30" i="8" s="1"/>
  <c r="Q32" i="8" s="1"/>
  <c r="J29" i="8"/>
  <c r="J31" i="8" s="1"/>
  <c r="J33" i="8" s="1"/>
  <c r="H28" i="8"/>
  <c r="H30" i="8" s="1"/>
  <c r="H32" i="8" s="1"/>
  <c r="P28" i="8"/>
  <c r="P30" i="8" s="1"/>
  <c r="P32" i="8" s="1"/>
  <c r="Q29" i="8"/>
  <c r="Q31" i="8" s="1"/>
  <c r="Q33" i="8" s="1"/>
  <c r="J28" i="8"/>
  <c r="J30" i="8" s="1"/>
  <c r="J32" i="8" s="1"/>
  <c r="K29" i="8"/>
  <c r="K31" i="8" s="1"/>
  <c r="K33" i="8" s="1"/>
  <c r="K28" i="8"/>
  <c r="K30" i="8" s="1"/>
  <c r="K32" i="8" s="1"/>
  <c r="K34" i="8" s="1"/>
  <c r="L29" i="8"/>
  <c r="L31" i="8" s="1"/>
  <c r="L33" i="8" s="1"/>
  <c r="G35" i="8"/>
  <c r="O29" i="8"/>
  <c r="O31" i="8" s="1"/>
  <c r="O33" i="8" s="1"/>
  <c r="F28" i="8"/>
  <c r="F30" i="8" s="1"/>
  <c r="F32" i="8" s="1"/>
  <c r="P29" i="8"/>
  <c r="P31" i="8" s="1"/>
  <c r="P33" i="8" s="1"/>
  <c r="H29" i="8"/>
  <c r="H31" i="8" s="1"/>
  <c r="H33" i="8" s="1"/>
  <c r="O80" i="9" l="1"/>
  <c r="O71" i="9"/>
  <c r="O88" i="9"/>
  <c r="O90" i="9"/>
  <c r="O87" i="9"/>
  <c r="O120" i="9"/>
  <c r="M34" i="8"/>
  <c r="O34" i="8"/>
  <c r="E35" i="8"/>
  <c r="I34" i="8"/>
  <c r="G34" i="8"/>
  <c r="N34" i="8"/>
  <c r="K35" i="8"/>
  <c r="J34" i="8"/>
  <c r="Q35" i="8"/>
  <c r="N35" i="8"/>
  <c r="I35" i="8"/>
  <c r="P34" i="8"/>
  <c r="L35" i="8"/>
  <c r="L34" i="8"/>
  <c r="D35" i="8"/>
  <c r="Q34" i="8"/>
  <c r="H35" i="8"/>
  <c r="J35" i="8"/>
  <c r="P35" i="8"/>
  <c r="H34" i="8"/>
  <c r="F34" i="8"/>
  <c r="F35" i="8"/>
  <c r="O35" i="8"/>
  <c r="T28" i="4" l="1"/>
  <c r="T30" i="4" s="1"/>
  <c r="T32" i="4" s="1"/>
  <c r="T34" i="4" s="1"/>
  <c r="T29" i="4"/>
  <c r="T31" i="4" s="1"/>
  <c r="T33" i="4" s="1"/>
  <c r="T35" i="4" s="1"/>
  <c r="AG26" i="7"/>
  <c r="AG28" i="7" s="1"/>
  <c r="AG30" i="7" s="1"/>
  <c r="AG32" i="7" s="1"/>
  <c r="AG27" i="7"/>
  <c r="AG29" i="7" s="1"/>
  <c r="AG31" i="7" s="1"/>
  <c r="AG33" i="7" s="1"/>
  <c r="AF27" i="7"/>
  <c r="AF29" i="7" s="1"/>
  <c r="AF31" i="7" s="1"/>
  <c r="AF33" i="7" s="1"/>
  <c r="AE27" i="7"/>
  <c r="AE29" i="7" s="1"/>
  <c r="AE31" i="7" s="1"/>
  <c r="AE33" i="7" s="1"/>
  <c r="AD27" i="7"/>
  <c r="AD29" i="7" s="1"/>
  <c r="AD31" i="7" s="1"/>
  <c r="AD33" i="7" s="1"/>
  <c r="AC27" i="7"/>
  <c r="AC29" i="7" s="1"/>
  <c r="AC31" i="7" s="1"/>
  <c r="AC33" i="7" s="1"/>
  <c r="AB27" i="7"/>
  <c r="AB29" i="7" s="1"/>
  <c r="AB31" i="7" s="1"/>
  <c r="AB33" i="7" s="1"/>
  <c r="AA27" i="7"/>
  <c r="AA29" i="7" s="1"/>
  <c r="AA31" i="7" s="1"/>
  <c r="AA33" i="7" s="1"/>
  <c r="Z27" i="7"/>
  <c r="Z29" i="7" s="1"/>
  <c r="Z31" i="7" s="1"/>
  <c r="Z33" i="7" s="1"/>
  <c r="Y27" i="7"/>
  <c r="Y29" i="7" s="1"/>
  <c r="Y31" i="7" s="1"/>
  <c r="Y33" i="7" s="1"/>
  <c r="X27" i="7"/>
  <c r="X29" i="7" s="1"/>
  <c r="X31" i="7" s="1"/>
  <c r="X33" i="7" s="1"/>
  <c r="W27" i="7"/>
  <c r="W29" i="7" s="1"/>
  <c r="W31" i="7" s="1"/>
  <c r="W33" i="7" s="1"/>
  <c r="V27" i="7"/>
  <c r="V29" i="7" s="1"/>
  <c r="V31" i="7" s="1"/>
  <c r="V33" i="7" s="1"/>
  <c r="U27" i="7"/>
  <c r="U29" i="7" s="1"/>
  <c r="U31" i="7" s="1"/>
  <c r="U33" i="7" s="1"/>
  <c r="T27" i="7"/>
  <c r="T29" i="7" s="1"/>
  <c r="T31" i="7" s="1"/>
  <c r="T33" i="7" s="1"/>
  <c r="S27" i="7"/>
  <c r="S29" i="7" s="1"/>
  <c r="S31" i="7" s="1"/>
  <c r="S33" i="7" s="1"/>
  <c r="R27" i="7"/>
  <c r="R29" i="7" s="1"/>
  <c r="R31" i="7" s="1"/>
  <c r="R33" i="7" s="1"/>
  <c r="Q27" i="7"/>
  <c r="Q29" i="7" s="1"/>
  <c r="Q31" i="7" s="1"/>
  <c r="Q33" i="7" s="1"/>
  <c r="P27" i="7"/>
  <c r="P29" i="7" s="1"/>
  <c r="P31" i="7" s="1"/>
  <c r="P33" i="7" s="1"/>
  <c r="O27" i="7"/>
  <c r="O29" i="7" s="1"/>
  <c r="O31" i="7" s="1"/>
  <c r="O33" i="7" s="1"/>
  <c r="N27" i="7"/>
  <c r="N29" i="7" s="1"/>
  <c r="N31" i="7" s="1"/>
  <c r="N33" i="7" s="1"/>
  <c r="M27" i="7"/>
  <c r="M29" i="7" s="1"/>
  <c r="M31" i="7" s="1"/>
  <c r="M33" i="7" s="1"/>
  <c r="L27" i="7"/>
  <c r="L29" i="7" s="1"/>
  <c r="L31" i="7" s="1"/>
  <c r="L33" i="7" s="1"/>
  <c r="K27" i="7"/>
  <c r="K29" i="7" s="1"/>
  <c r="K31" i="7" s="1"/>
  <c r="K33" i="7" s="1"/>
  <c r="J27" i="7"/>
  <c r="J29" i="7" s="1"/>
  <c r="J31" i="7" s="1"/>
  <c r="J33" i="7" s="1"/>
  <c r="I27" i="7"/>
  <c r="I29" i="7" s="1"/>
  <c r="I31" i="7" s="1"/>
  <c r="I33" i="7" s="1"/>
  <c r="H27" i="7"/>
  <c r="H29" i="7" s="1"/>
  <c r="H31" i="7" s="1"/>
  <c r="H33" i="7" s="1"/>
  <c r="G27" i="7"/>
  <c r="G29" i="7" s="1"/>
  <c r="G31" i="7" s="1"/>
  <c r="G33" i="7" s="1"/>
  <c r="F27" i="7"/>
  <c r="F29" i="7" s="1"/>
  <c r="F31" i="7" s="1"/>
  <c r="F33" i="7" s="1"/>
  <c r="E27" i="7"/>
  <c r="E29" i="7" s="1"/>
  <c r="E31" i="7" s="1"/>
  <c r="E33" i="7" s="1"/>
  <c r="D27" i="7"/>
  <c r="D29" i="7" s="1"/>
  <c r="D31" i="7" s="1"/>
  <c r="D33" i="7" s="1"/>
  <c r="C27" i="7"/>
  <c r="AF26" i="7"/>
  <c r="AF28" i="7" s="1"/>
  <c r="AF30" i="7" s="1"/>
  <c r="AF32" i="7" s="1"/>
  <c r="AE26" i="7"/>
  <c r="AE28" i="7" s="1"/>
  <c r="AE30" i="7" s="1"/>
  <c r="AE32" i="7" s="1"/>
  <c r="AD26" i="7"/>
  <c r="AD28" i="7" s="1"/>
  <c r="AD30" i="7" s="1"/>
  <c r="AD32" i="7" s="1"/>
  <c r="AC26" i="7"/>
  <c r="AC28" i="7" s="1"/>
  <c r="AC30" i="7" s="1"/>
  <c r="AC32" i="7" s="1"/>
  <c r="AB26" i="7"/>
  <c r="AB28" i="7" s="1"/>
  <c r="AB30" i="7" s="1"/>
  <c r="AB32" i="7" s="1"/>
  <c r="AA26" i="7"/>
  <c r="AA28" i="7" s="1"/>
  <c r="AA30" i="7" s="1"/>
  <c r="AA32" i="7" s="1"/>
  <c r="Z26" i="7"/>
  <c r="Z28" i="7" s="1"/>
  <c r="Z30" i="7" s="1"/>
  <c r="Z32" i="7" s="1"/>
  <c r="Y26" i="7"/>
  <c r="Y28" i="7" s="1"/>
  <c r="Y30" i="7" s="1"/>
  <c r="Y32" i="7" s="1"/>
  <c r="X26" i="7"/>
  <c r="X28" i="7" s="1"/>
  <c r="X30" i="7" s="1"/>
  <c r="X32" i="7" s="1"/>
  <c r="W26" i="7"/>
  <c r="W28" i="7" s="1"/>
  <c r="W30" i="7" s="1"/>
  <c r="W32" i="7" s="1"/>
  <c r="V26" i="7"/>
  <c r="V28" i="7" s="1"/>
  <c r="V30" i="7" s="1"/>
  <c r="V32" i="7" s="1"/>
  <c r="U26" i="7"/>
  <c r="U28" i="7" s="1"/>
  <c r="U30" i="7" s="1"/>
  <c r="U32" i="7" s="1"/>
  <c r="T26" i="7"/>
  <c r="T28" i="7" s="1"/>
  <c r="T30" i="7" s="1"/>
  <c r="T32" i="7" s="1"/>
  <c r="S26" i="7"/>
  <c r="S28" i="7" s="1"/>
  <c r="S30" i="7" s="1"/>
  <c r="S32" i="7" s="1"/>
  <c r="R26" i="7"/>
  <c r="R28" i="7" s="1"/>
  <c r="R30" i="7" s="1"/>
  <c r="R32" i="7" s="1"/>
  <c r="Q26" i="7"/>
  <c r="Q28" i="7" s="1"/>
  <c r="Q30" i="7" s="1"/>
  <c r="Q32" i="7" s="1"/>
  <c r="P26" i="7"/>
  <c r="P28" i="7" s="1"/>
  <c r="P30" i="7" s="1"/>
  <c r="P32" i="7" s="1"/>
  <c r="O26" i="7"/>
  <c r="O28" i="7" s="1"/>
  <c r="O30" i="7" s="1"/>
  <c r="O32" i="7" s="1"/>
  <c r="N26" i="7"/>
  <c r="N28" i="7" s="1"/>
  <c r="N30" i="7" s="1"/>
  <c r="N32" i="7" s="1"/>
  <c r="M26" i="7"/>
  <c r="M28" i="7" s="1"/>
  <c r="M30" i="7" s="1"/>
  <c r="M32" i="7" s="1"/>
  <c r="L26" i="7"/>
  <c r="L28" i="7" s="1"/>
  <c r="L30" i="7" s="1"/>
  <c r="L32" i="7" s="1"/>
  <c r="K26" i="7"/>
  <c r="K28" i="7" s="1"/>
  <c r="K30" i="7" s="1"/>
  <c r="K32" i="7" s="1"/>
  <c r="J26" i="7"/>
  <c r="J28" i="7" s="1"/>
  <c r="J30" i="7" s="1"/>
  <c r="J32" i="7" s="1"/>
  <c r="I26" i="7"/>
  <c r="I28" i="7" s="1"/>
  <c r="I30" i="7" s="1"/>
  <c r="I32" i="7" s="1"/>
  <c r="H26" i="7"/>
  <c r="H28" i="7" s="1"/>
  <c r="H30" i="7" s="1"/>
  <c r="H32" i="7" s="1"/>
  <c r="G26" i="7"/>
  <c r="G28" i="7" s="1"/>
  <c r="G30" i="7" s="1"/>
  <c r="G32" i="7" s="1"/>
  <c r="F26" i="7"/>
  <c r="F28" i="7" s="1"/>
  <c r="F30" i="7" s="1"/>
  <c r="F32" i="7" s="1"/>
  <c r="E26" i="7"/>
  <c r="E28" i="7" s="1"/>
  <c r="E30" i="7" s="1"/>
  <c r="E32" i="7" s="1"/>
  <c r="D28" i="7"/>
  <c r="D30" i="7" s="1"/>
  <c r="D32" i="7" s="1"/>
  <c r="C26" i="7"/>
  <c r="C32" i="6"/>
  <c r="D32" i="6"/>
  <c r="E32" i="6"/>
  <c r="F32" i="6"/>
  <c r="G32" i="6"/>
  <c r="H32" i="6"/>
  <c r="I32" i="6"/>
  <c r="J32" i="6"/>
  <c r="K32" i="6"/>
  <c r="L32" i="6"/>
  <c r="M32" i="6"/>
  <c r="D33" i="6"/>
  <c r="E33" i="6"/>
  <c r="F33" i="6"/>
  <c r="G33" i="6"/>
  <c r="H33" i="6"/>
  <c r="I33" i="6"/>
  <c r="J33" i="6"/>
  <c r="K33" i="6"/>
  <c r="L33" i="6"/>
  <c r="M33" i="6"/>
  <c r="D34" i="6"/>
  <c r="E34" i="6"/>
  <c r="F34" i="6"/>
  <c r="G34" i="6"/>
  <c r="H34" i="6"/>
  <c r="I34" i="6"/>
  <c r="J34" i="6"/>
  <c r="K34" i="6"/>
  <c r="L34" i="6"/>
  <c r="M34" i="6"/>
  <c r="C40" i="6"/>
  <c r="D40" i="6"/>
  <c r="E40" i="6"/>
  <c r="F40" i="6"/>
  <c r="G40" i="6"/>
  <c r="H40" i="6"/>
  <c r="I40" i="6"/>
  <c r="J40" i="6"/>
  <c r="K40" i="6"/>
  <c r="L40" i="6"/>
  <c r="M40" i="6"/>
  <c r="D41" i="6"/>
  <c r="E41" i="6"/>
  <c r="F41" i="6"/>
  <c r="G41" i="6"/>
  <c r="H41" i="6"/>
  <c r="I41" i="6"/>
  <c r="J41" i="6"/>
  <c r="K41" i="6"/>
  <c r="L41" i="6"/>
  <c r="M41" i="6"/>
  <c r="D42" i="6"/>
  <c r="E42" i="6"/>
  <c r="F42" i="6"/>
  <c r="G42" i="6"/>
  <c r="H42" i="6"/>
  <c r="I42" i="6"/>
  <c r="J42" i="6"/>
  <c r="K42" i="6"/>
  <c r="L42" i="6"/>
  <c r="M42" i="6"/>
  <c r="D49" i="6"/>
  <c r="D51" i="6" s="1"/>
  <c r="D53" i="6" s="1"/>
  <c r="E49" i="6"/>
  <c r="E51" i="6" s="1"/>
  <c r="E53" i="6" s="1"/>
  <c r="F49" i="6"/>
  <c r="F51" i="6" s="1"/>
  <c r="F53" i="6" s="1"/>
  <c r="G49" i="6"/>
  <c r="G51" i="6" s="1"/>
  <c r="G53" i="6" s="1"/>
  <c r="H49" i="6"/>
  <c r="H51" i="6" s="1"/>
  <c r="H53" i="6" s="1"/>
  <c r="I49" i="6"/>
  <c r="I51" i="6" s="1"/>
  <c r="I53" i="6" s="1"/>
  <c r="J49" i="6"/>
  <c r="J51" i="6" s="1"/>
  <c r="J53" i="6" s="1"/>
  <c r="K49" i="6"/>
  <c r="K51" i="6" s="1"/>
  <c r="K53" i="6" s="1"/>
  <c r="L49" i="6"/>
  <c r="L51" i="6" s="1"/>
  <c r="L53" i="6" s="1"/>
  <c r="M49" i="6"/>
  <c r="M51" i="6" s="1"/>
  <c r="M53" i="6" s="1"/>
  <c r="N49" i="6"/>
  <c r="O49" i="6"/>
  <c r="O51" i="6" s="1"/>
  <c r="O53" i="6" s="1"/>
  <c r="P49" i="6"/>
  <c r="P51" i="6" s="1"/>
  <c r="P53" i="6" s="1"/>
  <c r="Q49" i="6"/>
  <c r="Q51" i="6" s="1"/>
  <c r="Q53" i="6" s="1"/>
  <c r="R49" i="6"/>
  <c r="R51" i="6" s="1"/>
  <c r="R53" i="6" s="1"/>
  <c r="S49" i="6"/>
  <c r="T49" i="6"/>
  <c r="U49" i="6"/>
  <c r="U51" i="6" s="1"/>
  <c r="U53" i="6" s="1"/>
  <c r="V49" i="6"/>
  <c r="V51" i="6" s="1"/>
  <c r="V53" i="6" s="1"/>
  <c r="W49" i="6"/>
  <c r="W51" i="6" s="1"/>
  <c r="W53" i="6" s="1"/>
  <c r="X49" i="6"/>
  <c r="X51" i="6" s="1"/>
  <c r="X53" i="6" s="1"/>
  <c r="Y49" i="6"/>
  <c r="Y51" i="6" s="1"/>
  <c r="Y53" i="6" s="1"/>
  <c r="Z49" i="6"/>
  <c r="Z51" i="6" s="1"/>
  <c r="Z53" i="6" s="1"/>
  <c r="AA49" i="6"/>
  <c r="AA51" i="6" s="1"/>
  <c r="AA53" i="6" s="1"/>
  <c r="AB49" i="6"/>
  <c r="AB51" i="6" s="1"/>
  <c r="AB53" i="6" s="1"/>
  <c r="AC49" i="6"/>
  <c r="AC51" i="6" s="1"/>
  <c r="AC53" i="6" s="1"/>
  <c r="AD49" i="6"/>
  <c r="AD51" i="6" s="1"/>
  <c r="AD53" i="6" s="1"/>
  <c r="AE49" i="6"/>
  <c r="AE51" i="6" s="1"/>
  <c r="AE53" i="6" s="1"/>
  <c r="AF49" i="6"/>
  <c r="AF51" i="6" s="1"/>
  <c r="AF53" i="6" s="1"/>
  <c r="AG49" i="6"/>
  <c r="AG51" i="6" s="1"/>
  <c r="AG53" i="6" s="1"/>
  <c r="D50" i="6"/>
  <c r="D52" i="6" s="1"/>
  <c r="D54" i="6" s="1"/>
  <c r="E50" i="6"/>
  <c r="F50" i="6"/>
  <c r="F52" i="6" s="1"/>
  <c r="F54" i="6" s="1"/>
  <c r="G50" i="6"/>
  <c r="G52" i="6" s="1"/>
  <c r="G54" i="6" s="1"/>
  <c r="H50" i="6"/>
  <c r="H52" i="6" s="1"/>
  <c r="H54" i="6" s="1"/>
  <c r="I50" i="6"/>
  <c r="I52" i="6" s="1"/>
  <c r="I54" i="6" s="1"/>
  <c r="J50" i="6"/>
  <c r="J52" i="6" s="1"/>
  <c r="J54" i="6" s="1"/>
  <c r="K50" i="6"/>
  <c r="K52" i="6" s="1"/>
  <c r="K54" i="6" s="1"/>
  <c r="L50" i="6"/>
  <c r="L52" i="6" s="1"/>
  <c r="L54" i="6" s="1"/>
  <c r="M50" i="6"/>
  <c r="M52" i="6" s="1"/>
  <c r="M54" i="6" s="1"/>
  <c r="N50" i="6"/>
  <c r="N52" i="6" s="1"/>
  <c r="N54" i="6" s="1"/>
  <c r="O50" i="6"/>
  <c r="O52" i="6" s="1"/>
  <c r="O54" i="6" s="1"/>
  <c r="P50" i="6"/>
  <c r="P52" i="6" s="1"/>
  <c r="P54" i="6" s="1"/>
  <c r="Q50" i="6"/>
  <c r="Q52" i="6" s="1"/>
  <c r="Q54" i="6" s="1"/>
  <c r="R50" i="6"/>
  <c r="R52" i="6" s="1"/>
  <c r="R54" i="6" s="1"/>
  <c r="S50" i="6"/>
  <c r="S52" i="6" s="1"/>
  <c r="S54" i="6" s="1"/>
  <c r="T50" i="6"/>
  <c r="U50" i="6"/>
  <c r="V50" i="6"/>
  <c r="W50" i="6"/>
  <c r="W52" i="6" s="1"/>
  <c r="W54" i="6" s="1"/>
  <c r="X50" i="6"/>
  <c r="X52" i="6" s="1"/>
  <c r="X54" i="6" s="1"/>
  <c r="Y50" i="6"/>
  <c r="Y52" i="6" s="1"/>
  <c r="Y54" i="6" s="1"/>
  <c r="Z50" i="6"/>
  <c r="Z52" i="6" s="1"/>
  <c r="Z54" i="6" s="1"/>
  <c r="AA50" i="6"/>
  <c r="AA52" i="6" s="1"/>
  <c r="AA54" i="6" s="1"/>
  <c r="AB50" i="6"/>
  <c r="AB52" i="6" s="1"/>
  <c r="AB54" i="6" s="1"/>
  <c r="AC50" i="6"/>
  <c r="AC52" i="6" s="1"/>
  <c r="AC54" i="6" s="1"/>
  <c r="AD50" i="6"/>
  <c r="AD52" i="6" s="1"/>
  <c r="AD54" i="6" s="1"/>
  <c r="AE50" i="6"/>
  <c r="AE52" i="6" s="1"/>
  <c r="AE54" i="6" s="1"/>
  <c r="AF50" i="6"/>
  <c r="AF52" i="6" s="1"/>
  <c r="AF54" i="6" s="1"/>
  <c r="AG50" i="6"/>
  <c r="AG52" i="6" s="1"/>
  <c r="AG54" i="6" s="1"/>
  <c r="N51" i="6"/>
  <c r="N53" i="6" s="1"/>
  <c r="S51" i="6"/>
  <c r="S53" i="6" s="1"/>
  <c r="T51" i="6"/>
  <c r="T53" i="6" s="1"/>
  <c r="E52" i="6"/>
  <c r="E54" i="6" s="1"/>
  <c r="T52" i="6"/>
  <c r="T54" i="6" s="1"/>
  <c r="U52" i="6"/>
  <c r="U54" i="6" s="1"/>
  <c r="V52" i="6"/>
  <c r="V54" i="6" s="1"/>
  <c r="C34" i="5"/>
  <c r="D34" i="5"/>
  <c r="D36" i="5" s="1"/>
  <c r="D38" i="5" s="1"/>
  <c r="D40" i="5" s="1"/>
  <c r="E34" i="5"/>
  <c r="E36" i="5" s="1"/>
  <c r="E38" i="5" s="1"/>
  <c r="E40" i="5" s="1"/>
  <c r="F34" i="5"/>
  <c r="G34" i="5"/>
  <c r="H34" i="5"/>
  <c r="H36" i="5" s="1"/>
  <c r="H38" i="5" s="1"/>
  <c r="H40" i="5" s="1"/>
  <c r="I34" i="5"/>
  <c r="I36" i="5" s="1"/>
  <c r="I38" i="5" s="1"/>
  <c r="I40" i="5" s="1"/>
  <c r="J34" i="5"/>
  <c r="J36" i="5" s="1"/>
  <c r="J38" i="5" s="1"/>
  <c r="J40" i="5" s="1"/>
  <c r="K34" i="5"/>
  <c r="L34" i="5"/>
  <c r="L36" i="5" s="1"/>
  <c r="L38" i="5" s="1"/>
  <c r="L40" i="5" s="1"/>
  <c r="M34" i="5"/>
  <c r="N34" i="5"/>
  <c r="O34" i="5"/>
  <c r="O36" i="5" s="1"/>
  <c r="O38" i="5" s="1"/>
  <c r="O40" i="5" s="1"/>
  <c r="P34" i="5"/>
  <c r="P36" i="5" s="1"/>
  <c r="P38" i="5" s="1"/>
  <c r="P40" i="5" s="1"/>
  <c r="Q34" i="5"/>
  <c r="Q36" i="5" s="1"/>
  <c r="Q38" i="5" s="1"/>
  <c r="Q40" i="5" s="1"/>
  <c r="R34" i="5"/>
  <c r="R36" i="5" s="1"/>
  <c r="R38" i="5" s="1"/>
  <c r="R40" i="5" s="1"/>
  <c r="S34" i="5"/>
  <c r="S36" i="5" s="1"/>
  <c r="S38" i="5" s="1"/>
  <c r="S40" i="5" s="1"/>
  <c r="T34" i="5"/>
  <c r="T36" i="5" s="1"/>
  <c r="T38" i="5" s="1"/>
  <c r="T40" i="5" s="1"/>
  <c r="U34" i="5"/>
  <c r="U36" i="5" s="1"/>
  <c r="U38" i="5" s="1"/>
  <c r="U40" i="5" s="1"/>
  <c r="V34" i="5"/>
  <c r="V36" i="5" s="1"/>
  <c r="V38" i="5" s="1"/>
  <c r="V40" i="5" s="1"/>
  <c r="W34" i="5"/>
  <c r="W36" i="5" s="1"/>
  <c r="W38" i="5" s="1"/>
  <c r="W40" i="5" s="1"/>
  <c r="X34" i="5"/>
  <c r="X36" i="5" s="1"/>
  <c r="X38" i="5" s="1"/>
  <c r="X40" i="5" s="1"/>
  <c r="Y34" i="5"/>
  <c r="Y36" i="5" s="1"/>
  <c r="Y38" i="5" s="1"/>
  <c r="Y40" i="5" s="1"/>
  <c r="Z34" i="5"/>
  <c r="Z36" i="5" s="1"/>
  <c r="Z38" i="5" s="1"/>
  <c r="Z40" i="5" s="1"/>
  <c r="AA34" i="5"/>
  <c r="AA36" i="5" s="1"/>
  <c r="AA38" i="5" s="1"/>
  <c r="AA40" i="5" s="1"/>
  <c r="AB34" i="5"/>
  <c r="AB36" i="5" s="1"/>
  <c r="AB38" i="5" s="1"/>
  <c r="AB40" i="5" s="1"/>
  <c r="AC34" i="5"/>
  <c r="AC36" i="5" s="1"/>
  <c r="AC38" i="5" s="1"/>
  <c r="AC40" i="5" s="1"/>
  <c r="AD34" i="5"/>
  <c r="AE34" i="5"/>
  <c r="AE36" i="5" s="1"/>
  <c r="AE38" i="5" s="1"/>
  <c r="AE40" i="5" s="1"/>
  <c r="AF34" i="5"/>
  <c r="AF36" i="5" s="1"/>
  <c r="AF38" i="5" s="1"/>
  <c r="AF40" i="5" s="1"/>
  <c r="C35" i="5"/>
  <c r="D35" i="5"/>
  <c r="D37" i="5" s="1"/>
  <c r="D39" i="5" s="1"/>
  <c r="D41" i="5" s="1"/>
  <c r="E35" i="5"/>
  <c r="F35" i="5"/>
  <c r="F37" i="5" s="1"/>
  <c r="F39" i="5" s="1"/>
  <c r="F41" i="5" s="1"/>
  <c r="G35" i="5"/>
  <c r="G37" i="5" s="1"/>
  <c r="G39" i="5" s="1"/>
  <c r="G41" i="5" s="1"/>
  <c r="H35" i="5"/>
  <c r="I35" i="5"/>
  <c r="I37" i="5" s="1"/>
  <c r="I39" i="5" s="1"/>
  <c r="I41" i="5" s="1"/>
  <c r="J35" i="5"/>
  <c r="J37" i="5" s="1"/>
  <c r="J39" i="5" s="1"/>
  <c r="J41" i="5" s="1"/>
  <c r="K35" i="5"/>
  <c r="K37" i="5" s="1"/>
  <c r="K39" i="5" s="1"/>
  <c r="K41" i="5" s="1"/>
  <c r="L35" i="5"/>
  <c r="L37" i="5" s="1"/>
  <c r="L39" i="5" s="1"/>
  <c r="L41" i="5" s="1"/>
  <c r="M35" i="5"/>
  <c r="M37" i="5" s="1"/>
  <c r="M39" i="5" s="1"/>
  <c r="M41" i="5" s="1"/>
  <c r="N35" i="5"/>
  <c r="N37" i="5" s="1"/>
  <c r="N39" i="5" s="1"/>
  <c r="N41" i="5" s="1"/>
  <c r="O35" i="5"/>
  <c r="O37" i="5" s="1"/>
  <c r="O39" i="5" s="1"/>
  <c r="O41" i="5" s="1"/>
  <c r="P35" i="5"/>
  <c r="P37" i="5" s="1"/>
  <c r="P39" i="5" s="1"/>
  <c r="P41" i="5" s="1"/>
  <c r="Q35" i="5"/>
  <c r="Q37" i="5" s="1"/>
  <c r="Q39" i="5" s="1"/>
  <c r="Q41" i="5" s="1"/>
  <c r="R35" i="5"/>
  <c r="R37" i="5" s="1"/>
  <c r="R39" i="5" s="1"/>
  <c r="R41" i="5" s="1"/>
  <c r="S35" i="5"/>
  <c r="S37" i="5" s="1"/>
  <c r="S39" i="5" s="1"/>
  <c r="S41" i="5" s="1"/>
  <c r="T35" i="5"/>
  <c r="T37" i="5" s="1"/>
  <c r="T39" i="5" s="1"/>
  <c r="T41" i="5" s="1"/>
  <c r="U35" i="5"/>
  <c r="U37" i="5" s="1"/>
  <c r="U39" i="5" s="1"/>
  <c r="U41" i="5" s="1"/>
  <c r="V35" i="5"/>
  <c r="V37" i="5" s="1"/>
  <c r="V39" i="5" s="1"/>
  <c r="V41" i="5" s="1"/>
  <c r="W35" i="5"/>
  <c r="W37" i="5" s="1"/>
  <c r="W39" i="5" s="1"/>
  <c r="W41" i="5" s="1"/>
  <c r="X35" i="5"/>
  <c r="X37" i="5" s="1"/>
  <c r="X39" i="5" s="1"/>
  <c r="X41" i="5" s="1"/>
  <c r="Y35" i="5"/>
  <c r="Z35" i="5"/>
  <c r="Z37" i="5" s="1"/>
  <c r="Z39" i="5" s="1"/>
  <c r="Z41" i="5" s="1"/>
  <c r="AA35" i="5"/>
  <c r="AA37" i="5" s="1"/>
  <c r="AA39" i="5" s="1"/>
  <c r="AA41" i="5" s="1"/>
  <c r="AB35" i="5"/>
  <c r="AB37" i="5" s="1"/>
  <c r="AB39" i="5" s="1"/>
  <c r="AB41" i="5" s="1"/>
  <c r="AC35" i="5"/>
  <c r="AD35" i="5"/>
  <c r="AD37" i="5" s="1"/>
  <c r="AD39" i="5" s="1"/>
  <c r="AD41" i="5" s="1"/>
  <c r="AE35" i="5"/>
  <c r="AE37" i="5" s="1"/>
  <c r="AE39" i="5" s="1"/>
  <c r="AE41" i="5" s="1"/>
  <c r="AF35" i="5"/>
  <c r="F36" i="5"/>
  <c r="F38" i="5" s="1"/>
  <c r="F40" i="5" s="1"/>
  <c r="G36" i="5"/>
  <c r="G38" i="5" s="1"/>
  <c r="G40" i="5" s="1"/>
  <c r="K36" i="5"/>
  <c r="K38" i="5" s="1"/>
  <c r="K40" i="5" s="1"/>
  <c r="M36" i="5"/>
  <c r="M38" i="5" s="1"/>
  <c r="M40" i="5" s="1"/>
  <c r="N36" i="5"/>
  <c r="N38" i="5" s="1"/>
  <c r="N40" i="5" s="1"/>
  <c r="AD36" i="5"/>
  <c r="AD38" i="5" s="1"/>
  <c r="AD40" i="5" s="1"/>
  <c r="E37" i="5"/>
  <c r="E39" i="5" s="1"/>
  <c r="E41" i="5" s="1"/>
  <c r="H37" i="5"/>
  <c r="H39" i="5" s="1"/>
  <c r="H41" i="5" s="1"/>
  <c r="Y37" i="5"/>
  <c r="Y39" i="5" s="1"/>
  <c r="Y41" i="5" s="1"/>
  <c r="AC37" i="5"/>
  <c r="AC39" i="5" s="1"/>
  <c r="AC41" i="5" s="1"/>
  <c r="AF37" i="5"/>
  <c r="AF39" i="5" s="1"/>
  <c r="AF41" i="5" s="1"/>
  <c r="C28" i="4"/>
  <c r="D28" i="4"/>
  <c r="E28" i="4"/>
  <c r="E30" i="4" s="1"/>
  <c r="E32" i="4" s="1"/>
  <c r="E34" i="4" s="1"/>
  <c r="F28" i="4"/>
  <c r="F30" i="4" s="1"/>
  <c r="F32" i="4" s="1"/>
  <c r="F34" i="4" s="1"/>
  <c r="G28" i="4"/>
  <c r="G30" i="4" s="1"/>
  <c r="G32" i="4" s="1"/>
  <c r="G34" i="4" s="1"/>
  <c r="H28" i="4"/>
  <c r="H30" i="4" s="1"/>
  <c r="H32" i="4" s="1"/>
  <c r="H34" i="4" s="1"/>
  <c r="I28" i="4"/>
  <c r="I30" i="4" s="1"/>
  <c r="I32" i="4" s="1"/>
  <c r="I34" i="4" s="1"/>
  <c r="J28" i="4"/>
  <c r="J30" i="4" s="1"/>
  <c r="J32" i="4" s="1"/>
  <c r="J34" i="4" s="1"/>
  <c r="K28" i="4"/>
  <c r="K30" i="4" s="1"/>
  <c r="K32" i="4" s="1"/>
  <c r="K34" i="4" s="1"/>
  <c r="L28" i="4"/>
  <c r="L30" i="4" s="1"/>
  <c r="L32" i="4" s="1"/>
  <c r="L34" i="4" s="1"/>
  <c r="M28" i="4"/>
  <c r="N28" i="4"/>
  <c r="O28" i="4"/>
  <c r="O30" i="4" s="1"/>
  <c r="O32" i="4" s="1"/>
  <c r="O34" i="4" s="1"/>
  <c r="P28" i="4"/>
  <c r="P30" i="4" s="1"/>
  <c r="P32" i="4" s="1"/>
  <c r="P34" i="4" s="1"/>
  <c r="Q28" i="4"/>
  <c r="Q30" i="4" s="1"/>
  <c r="Q32" i="4" s="1"/>
  <c r="Q34" i="4" s="1"/>
  <c r="R28" i="4"/>
  <c r="R30" i="4" s="1"/>
  <c r="R32" i="4" s="1"/>
  <c r="R34" i="4" s="1"/>
  <c r="S28" i="4"/>
  <c r="S30" i="4" s="1"/>
  <c r="S32" i="4" s="1"/>
  <c r="S34" i="4" s="1"/>
  <c r="V28" i="4"/>
  <c r="V30" i="4" s="1"/>
  <c r="V32" i="4" s="1"/>
  <c r="V34" i="4" s="1"/>
  <c r="W28" i="4"/>
  <c r="W30" i="4" s="1"/>
  <c r="W32" i="4" s="1"/>
  <c r="W34" i="4" s="1"/>
  <c r="C29" i="4"/>
  <c r="D29" i="4"/>
  <c r="D31" i="4" s="1"/>
  <c r="D33" i="4" s="1"/>
  <c r="D35" i="4" s="1"/>
  <c r="E29" i="4"/>
  <c r="E31" i="4" s="1"/>
  <c r="E33" i="4" s="1"/>
  <c r="E35" i="4" s="1"/>
  <c r="F29" i="4"/>
  <c r="F31" i="4" s="1"/>
  <c r="F33" i="4" s="1"/>
  <c r="F35" i="4" s="1"/>
  <c r="G29" i="4"/>
  <c r="G31" i="4" s="1"/>
  <c r="G33" i="4" s="1"/>
  <c r="G35" i="4" s="1"/>
  <c r="H29" i="4"/>
  <c r="I29" i="4"/>
  <c r="J29" i="4"/>
  <c r="K29" i="4"/>
  <c r="K31" i="4" s="1"/>
  <c r="K33" i="4" s="1"/>
  <c r="K35" i="4" s="1"/>
  <c r="L29" i="4"/>
  <c r="L31" i="4" s="1"/>
  <c r="L33" i="4" s="1"/>
  <c r="L35" i="4" s="1"/>
  <c r="M29" i="4"/>
  <c r="M31" i="4" s="1"/>
  <c r="M33" i="4" s="1"/>
  <c r="M35" i="4" s="1"/>
  <c r="N29" i="4"/>
  <c r="N31" i="4" s="1"/>
  <c r="N33" i="4" s="1"/>
  <c r="N35" i="4" s="1"/>
  <c r="O29" i="4"/>
  <c r="P29" i="4"/>
  <c r="P31" i="4" s="1"/>
  <c r="P33" i="4" s="1"/>
  <c r="P35" i="4" s="1"/>
  <c r="Q29" i="4"/>
  <c r="Q31" i="4" s="1"/>
  <c r="Q33" i="4" s="1"/>
  <c r="Q35" i="4" s="1"/>
  <c r="R29" i="4"/>
  <c r="S29" i="4"/>
  <c r="S31" i="4" s="1"/>
  <c r="S33" i="4" s="1"/>
  <c r="S35" i="4" s="1"/>
  <c r="V29" i="4"/>
  <c r="V31" i="4" s="1"/>
  <c r="V33" i="4" s="1"/>
  <c r="V35" i="4" s="1"/>
  <c r="W29" i="4"/>
  <c r="W31" i="4" s="1"/>
  <c r="W33" i="4" s="1"/>
  <c r="W35" i="4" s="1"/>
  <c r="D30" i="4"/>
  <c r="D32" i="4" s="1"/>
  <c r="D34" i="4" s="1"/>
  <c r="M30" i="4"/>
  <c r="M32" i="4" s="1"/>
  <c r="M34" i="4" s="1"/>
  <c r="N30" i="4"/>
  <c r="N32" i="4" s="1"/>
  <c r="N34" i="4" s="1"/>
  <c r="H31" i="4"/>
  <c r="H33" i="4" s="1"/>
  <c r="H35" i="4" s="1"/>
  <c r="I31" i="4"/>
  <c r="I33" i="4" s="1"/>
  <c r="I35" i="4" s="1"/>
  <c r="J31" i="4"/>
  <c r="J33" i="4" s="1"/>
  <c r="J35" i="4" s="1"/>
  <c r="O31" i="4"/>
  <c r="O33" i="4" s="1"/>
  <c r="O35" i="4" s="1"/>
  <c r="R31" i="4"/>
  <c r="R33" i="4" s="1"/>
  <c r="R35" i="4" s="1"/>
  <c r="T36" i="4" l="1"/>
  <c r="T37" i="4"/>
  <c r="AG35" i="7"/>
  <c r="AG34" i="7"/>
  <c r="F37" i="4"/>
  <c r="AC34" i="7"/>
  <c r="AC35" i="7"/>
  <c r="J34" i="7"/>
  <c r="J35" i="7"/>
  <c r="O35" i="7"/>
  <c r="O34" i="7"/>
  <c r="D34" i="7"/>
  <c r="D35" i="7"/>
  <c r="H35" i="7"/>
  <c r="H34" i="7"/>
  <c r="P35" i="7"/>
  <c r="P34" i="7"/>
  <c r="X35" i="7"/>
  <c r="X34" i="7"/>
  <c r="AF35" i="7"/>
  <c r="AF34" i="7"/>
  <c r="F35" i="7"/>
  <c r="F34" i="7"/>
  <c r="AB34" i="7"/>
  <c r="AB35" i="7"/>
  <c r="Z35" i="7"/>
  <c r="Z34" i="7"/>
  <c r="M34" i="7"/>
  <c r="M35" i="7"/>
  <c r="G35" i="7"/>
  <c r="G34" i="7"/>
  <c r="Q34" i="7"/>
  <c r="Q35" i="7"/>
  <c r="Y35" i="7"/>
  <c r="Y34" i="7"/>
  <c r="AD35" i="7"/>
  <c r="AD34" i="7"/>
  <c r="AE35" i="7"/>
  <c r="AE34" i="7"/>
  <c r="I35" i="7"/>
  <c r="I34" i="7"/>
  <c r="L34" i="7"/>
  <c r="L35" i="7"/>
  <c r="E34" i="7"/>
  <c r="E35" i="7"/>
  <c r="T34" i="7"/>
  <c r="T35" i="7"/>
  <c r="R34" i="7"/>
  <c r="R35" i="7"/>
  <c r="K34" i="7"/>
  <c r="K35" i="7"/>
  <c r="S34" i="7"/>
  <c r="S35" i="7"/>
  <c r="AA34" i="7"/>
  <c r="AA35" i="7"/>
  <c r="N35" i="7"/>
  <c r="N34" i="7"/>
  <c r="U34" i="7"/>
  <c r="U35" i="7"/>
  <c r="V35" i="7"/>
  <c r="V34" i="7"/>
  <c r="W35" i="7"/>
  <c r="W34" i="7"/>
  <c r="I55" i="6"/>
  <c r="I56" i="6"/>
  <c r="Z56" i="6"/>
  <c r="Z55" i="6"/>
  <c r="X56" i="6"/>
  <c r="X55" i="6"/>
  <c r="AB55" i="6"/>
  <c r="AB56" i="6"/>
  <c r="AE55" i="6"/>
  <c r="AE56" i="6"/>
  <c r="W56" i="6"/>
  <c r="W55" i="6"/>
  <c r="O55" i="6"/>
  <c r="O56" i="6"/>
  <c r="G55" i="6"/>
  <c r="G56" i="6"/>
  <c r="V55" i="6"/>
  <c r="V56" i="6"/>
  <c r="AA56" i="6"/>
  <c r="AA55" i="6"/>
  <c r="M56" i="6"/>
  <c r="M55" i="6"/>
  <c r="S55" i="6"/>
  <c r="S56" i="6"/>
  <c r="E56" i="6"/>
  <c r="E55" i="6"/>
  <c r="AG55" i="6"/>
  <c r="AG56" i="6"/>
  <c r="J56" i="6"/>
  <c r="J55" i="6"/>
  <c r="H56" i="6"/>
  <c r="H55" i="6"/>
  <c r="F55" i="6"/>
  <c r="F56" i="6"/>
  <c r="K56" i="6"/>
  <c r="K55" i="6"/>
  <c r="N55" i="6"/>
  <c r="N56" i="6"/>
  <c r="Q56" i="6"/>
  <c r="Q55" i="6"/>
  <c r="AC56" i="6"/>
  <c r="AC55" i="6"/>
  <c r="R56" i="6"/>
  <c r="R55" i="6"/>
  <c r="P56" i="6"/>
  <c r="P55" i="6"/>
  <c r="L56" i="6"/>
  <c r="L55" i="6"/>
  <c r="AD55" i="6"/>
  <c r="AD56" i="6"/>
  <c r="U55" i="6"/>
  <c r="U56" i="6"/>
  <c r="Y56" i="6"/>
  <c r="Y55" i="6"/>
  <c r="D55" i="6"/>
  <c r="D56" i="6"/>
  <c r="AF56" i="6"/>
  <c r="AF55" i="6"/>
  <c r="T55" i="6"/>
  <c r="T56" i="6"/>
  <c r="AC43" i="5"/>
  <c r="AC42" i="5"/>
  <c r="Z42" i="5"/>
  <c r="Z43" i="5"/>
  <c r="F43" i="5"/>
  <c r="F42" i="5"/>
  <c r="AD43" i="5"/>
  <c r="AD42" i="5"/>
  <c r="P43" i="5"/>
  <c r="P42" i="5"/>
  <c r="O43" i="5"/>
  <c r="O42" i="5"/>
  <c r="T42" i="5"/>
  <c r="T43" i="5"/>
  <c r="N43" i="5"/>
  <c r="N42" i="5"/>
  <c r="J42" i="5"/>
  <c r="J43" i="5"/>
  <c r="AB43" i="5"/>
  <c r="AB42" i="5"/>
  <c r="I42" i="5"/>
  <c r="I43" i="5"/>
  <c r="AF42" i="5"/>
  <c r="AF43" i="5"/>
  <c r="U43" i="5"/>
  <c r="U42" i="5"/>
  <c r="AA42" i="5"/>
  <c r="R42" i="5"/>
  <c r="R43" i="5"/>
  <c r="E43" i="5"/>
  <c r="E42" i="5"/>
  <c r="Y42" i="5"/>
  <c r="Y43" i="5"/>
  <c r="D43" i="5"/>
  <c r="D42" i="5"/>
  <c r="H42" i="5"/>
  <c r="H43" i="5"/>
  <c r="S43" i="5"/>
  <c r="M43" i="5"/>
  <c r="M42" i="5"/>
  <c r="W43" i="5"/>
  <c r="W42" i="5"/>
  <c r="G42" i="5"/>
  <c r="G43" i="5"/>
  <c r="AE43" i="5"/>
  <c r="AE42" i="5"/>
  <c r="Q42" i="5"/>
  <c r="Q43" i="5"/>
  <c r="X43" i="5"/>
  <c r="X42" i="5"/>
  <c r="K42" i="5"/>
  <c r="L42" i="5"/>
  <c r="L43" i="5"/>
  <c r="V43" i="5"/>
  <c r="V42" i="5"/>
  <c r="K43" i="5"/>
  <c r="AA43" i="5"/>
  <c r="S42" i="5"/>
  <c r="N37" i="4"/>
  <c r="W37" i="4"/>
  <c r="V37" i="4"/>
  <c r="V36" i="4"/>
  <c r="J36" i="4"/>
  <c r="J37" i="4"/>
  <c r="I37" i="4"/>
  <c r="I36" i="4"/>
  <c r="K36" i="4"/>
  <c r="K37" i="4"/>
  <c r="G37" i="4"/>
  <c r="G36" i="4"/>
  <c r="L36" i="4"/>
  <c r="L37" i="4"/>
  <c r="H37" i="4"/>
  <c r="H36" i="4"/>
  <c r="W36" i="4"/>
  <c r="R36" i="4"/>
  <c r="R37" i="4"/>
  <c r="O37" i="4"/>
  <c r="O36" i="4"/>
  <c r="N36" i="4"/>
  <c r="E36" i="4"/>
  <c r="E37" i="4"/>
  <c r="S37" i="4"/>
  <c r="S36" i="4"/>
  <c r="Q36" i="4"/>
  <c r="Q37" i="4"/>
  <c r="M37" i="4"/>
  <c r="M36" i="4"/>
  <c r="F36" i="4"/>
  <c r="D36" i="4"/>
  <c r="D37" i="4"/>
  <c r="P37" i="4"/>
  <c r="P36" i="4"/>
  <c r="AB30" i="1"/>
  <c r="AB32" i="1" s="1"/>
  <c r="AB34" i="1" s="1"/>
  <c r="AB36" i="1" s="1"/>
  <c r="AC30" i="1"/>
  <c r="AC32" i="1" s="1"/>
  <c r="AC34" i="1" s="1"/>
  <c r="AC36" i="1" s="1"/>
  <c r="AD30" i="1"/>
  <c r="AD32" i="1" s="1"/>
  <c r="AD34" i="1" s="1"/>
  <c r="AD36" i="1" s="1"/>
  <c r="AD39" i="1" s="1"/>
  <c r="AE30" i="1"/>
  <c r="AE32" i="1" s="1"/>
  <c r="AE34" i="1" s="1"/>
  <c r="AE36" i="1" s="1"/>
  <c r="AF30" i="1"/>
  <c r="AF32" i="1" s="1"/>
  <c r="AF34" i="1" s="1"/>
  <c r="AF36" i="1" s="1"/>
  <c r="C30" i="1"/>
  <c r="AB31" i="1"/>
  <c r="AB33" i="1" s="1"/>
  <c r="AB35" i="1" s="1"/>
  <c r="AB37" i="1" s="1"/>
  <c r="AB38" i="1" s="1"/>
  <c r="AC31" i="1"/>
  <c r="AC33" i="1" s="1"/>
  <c r="AC35" i="1" s="1"/>
  <c r="AC37" i="1" s="1"/>
  <c r="AD31" i="1"/>
  <c r="AD33" i="1" s="1"/>
  <c r="AD35" i="1" s="1"/>
  <c r="AD37" i="1" s="1"/>
  <c r="AE31" i="1"/>
  <c r="AE33" i="1" s="1"/>
  <c r="AE35" i="1" s="1"/>
  <c r="AE37" i="1" s="1"/>
  <c r="AF31" i="1"/>
  <c r="AF33" i="1" s="1"/>
  <c r="AF35" i="1" s="1"/>
  <c r="AF37" i="1" s="1"/>
  <c r="C31" i="1"/>
  <c r="AA31" i="1"/>
  <c r="AA33" i="1" s="1"/>
  <c r="AA35" i="1" s="1"/>
  <c r="AA37" i="1" s="1"/>
  <c r="Q30" i="1"/>
  <c r="Q32" i="1" s="1"/>
  <c r="Q34" i="1" s="1"/>
  <c r="Q36" i="1" s="1"/>
  <c r="R30" i="1"/>
  <c r="R32" i="1" s="1"/>
  <c r="R34" i="1" s="1"/>
  <c r="R36" i="1" s="1"/>
  <c r="S30" i="1"/>
  <c r="S32" i="1" s="1"/>
  <c r="S34" i="1" s="1"/>
  <c r="S36" i="1" s="1"/>
  <c r="T30" i="1"/>
  <c r="T32" i="1" s="1"/>
  <c r="T34" i="1" s="1"/>
  <c r="T36" i="1" s="1"/>
  <c r="U30" i="1"/>
  <c r="U32" i="1" s="1"/>
  <c r="U34" i="1" s="1"/>
  <c r="U36" i="1" s="1"/>
  <c r="V30" i="1"/>
  <c r="V32" i="1" s="1"/>
  <c r="V34" i="1" s="1"/>
  <c r="V36" i="1" s="1"/>
  <c r="W30" i="1"/>
  <c r="W32" i="1" s="1"/>
  <c r="W34" i="1" s="1"/>
  <c r="W36" i="1" s="1"/>
  <c r="X30" i="1"/>
  <c r="X32" i="1" s="1"/>
  <c r="X34" i="1" s="1"/>
  <c r="X36" i="1" s="1"/>
  <c r="Y30" i="1"/>
  <c r="Y32" i="1" s="1"/>
  <c r="Y34" i="1" s="1"/>
  <c r="Y36" i="1" s="1"/>
  <c r="Z30" i="1"/>
  <c r="Z32" i="1" s="1"/>
  <c r="Z34" i="1" s="1"/>
  <c r="Z36" i="1" s="1"/>
  <c r="Q31" i="1"/>
  <c r="Q33" i="1" s="1"/>
  <c r="Q35" i="1" s="1"/>
  <c r="Q37" i="1" s="1"/>
  <c r="R31" i="1"/>
  <c r="R33" i="1" s="1"/>
  <c r="R35" i="1" s="1"/>
  <c r="R37" i="1" s="1"/>
  <c r="S31" i="1"/>
  <c r="S33" i="1" s="1"/>
  <c r="S35" i="1" s="1"/>
  <c r="S37" i="1" s="1"/>
  <c r="T31" i="1"/>
  <c r="T33" i="1" s="1"/>
  <c r="T35" i="1" s="1"/>
  <c r="T37" i="1" s="1"/>
  <c r="U31" i="1"/>
  <c r="U33" i="1" s="1"/>
  <c r="U35" i="1" s="1"/>
  <c r="U37" i="1" s="1"/>
  <c r="V31" i="1"/>
  <c r="V33" i="1" s="1"/>
  <c r="V35" i="1" s="1"/>
  <c r="V37" i="1" s="1"/>
  <c r="W31" i="1"/>
  <c r="W33" i="1" s="1"/>
  <c r="W35" i="1" s="1"/>
  <c r="W37" i="1" s="1"/>
  <c r="X31" i="1"/>
  <c r="X33" i="1" s="1"/>
  <c r="X35" i="1" s="1"/>
  <c r="X37" i="1" s="1"/>
  <c r="Y31" i="1"/>
  <c r="Y33" i="1" s="1"/>
  <c r="Y35" i="1" s="1"/>
  <c r="Y37" i="1" s="1"/>
  <c r="Z31" i="1"/>
  <c r="Z33" i="1" s="1"/>
  <c r="Z35" i="1" s="1"/>
  <c r="Z37" i="1" s="1"/>
  <c r="P31" i="1"/>
  <c r="P33" i="1" s="1"/>
  <c r="P35" i="1" s="1"/>
  <c r="P37" i="1" s="1"/>
  <c r="AA30" i="1"/>
  <c r="AA32" i="1" s="1"/>
  <c r="AA34" i="1" s="1"/>
  <c r="AA36" i="1" s="1"/>
  <c r="P30" i="1"/>
  <c r="P32" i="1" s="1"/>
  <c r="P34" i="1" s="1"/>
  <c r="P36" i="1" s="1"/>
  <c r="D30" i="1"/>
  <c r="D32" i="1" s="1"/>
  <c r="D34" i="1" s="1"/>
  <c r="D36" i="1" s="1"/>
  <c r="E30" i="1"/>
  <c r="E32" i="1" s="1"/>
  <c r="E34" i="1" s="1"/>
  <c r="E36" i="1" s="1"/>
  <c r="F30" i="1"/>
  <c r="F32" i="1" s="1"/>
  <c r="F34" i="1" s="1"/>
  <c r="F36" i="1" s="1"/>
  <c r="G30" i="1"/>
  <c r="G32" i="1" s="1"/>
  <c r="G34" i="1" s="1"/>
  <c r="G36" i="1" s="1"/>
  <c r="H30" i="1"/>
  <c r="H32" i="1" s="1"/>
  <c r="H34" i="1" s="1"/>
  <c r="H36" i="1" s="1"/>
  <c r="I30" i="1"/>
  <c r="I32" i="1" s="1"/>
  <c r="I34" i="1" s="1"/>
  <c r="I36" i="1" s="1"/>
  <c r="J30" i="1"/>
  <c r="J32" i="1" s="1"/>
  <c r="J34" i="1" s="1"/>
  <c r="J36" i="1" s="1"/>
  <c r="K30" i="1"/>
  <c r="K32" i="1" s="1"/>
  <c r="K34" i="1" s="1"/>
  <c r="K36" i="1" s="1"/>
  <c r="L30" i="1"/>
  <c r="L32" i="1" s="1"/>
  <c r="L34" i="1" s="1"/>
  <c r="L36" i="1" s="1"/>
  <c r="M30" i="1"/>
  <c r="M32" i="1" s="1"/>
  <c r="M34" i="1" s="1"/>
  <c r="M36" i="1" s="1"/>
  <c r="N30" i="1"/>
  <c r="N32" i="1" s="1"/>
  <c r="N34" i="1" s="1"/>
  <c r="N36" i="1" s="1"/>
  <c r="O30" i="1"/>
  <c r="O32" i="1" s="1"/>
  <c r="O34" i="1" s="1"/>
  <c r="O36" i="1" s="1"/>
  <c r="E31" i="1"/>
  <c r="E33" i="1" s="1"/>
  <c r="E35" i="1" s="1"/>
  <c r="E37" i="1" s="1"/>
  <c r="F31" i="1"/>
  <c r="F33" i="1" s="1"/>
  <c r="F35" i="1" s="1"/>
  <c r="F37" i="1" s="1"/>
  <c r="G31" i="1"/>
  <c r="G33" i="1" s="1"/>
  <c r="G35" i="1" s="1"/>
  <c r="G37" i="1" s="1"/>
  <c r="H31" i="1"/>
  <c r="H33" i="1" s="1"/>
  <c r="H35" i="1" s="1"/>
  <c r="H37" i="1" s="1"/>
  <c r="I31" i="1"/>
  <c r="I33" i="1" s="1"/>
  <c r="I35" i="1" s="1"/>
  <c r="I37" i="1" s="1"/>
  <c r="J31" i="1"/>
  <c r="J33" i="1" s="1"/>
  <c r="J35" i="1" s="1"/>
  <c r="J37" i="1" s="1"/>
  <c r="K31" i="1"/>
  <c r="K33" i="1" s="1"/>
  <c r="K35" i="1" s="1"/>
  <c r="K37" i="1" s="1"/>
  <c r="L31" i="1"/>
  <c r="L33" i="1" s="1"/>
  <c r="L35" i="1" s="1"/>
  <c r="L37" i="1" s="1"/>
  <c r="M31" i="1"/>
  <c r="M33" i="1" s="1"/>
  <c r="M35" i="1" s="1"/>
  <c r="M37" i="1" s="1"/>
  <c r="N31" i="1"/>
  <c r="N33" i="1" s="1"/>
  <c r="N35" i="1" s="1"/>
  <c r="N37" i="1" s="1"/>
  <c r="O31" i="1"/>
  <c r="O33" i="1" s="1"/>
  <c r="O35" i="1" s="1"/>
  <c r="O37" i="1" s="1"/>
  <c r="D31" i="1"/>
  <c r="D33" i="1" s="1"/>
  <c r="D35" i="1" s="1"/>
  <c r="D37" i="1" s="1"/>
  <c r="G39" i="1" l="1"/>
  <c r="AA38" i="1"/>
  <c r="S39" i="1"/>
  <c r="AC39" i="1"/>
  <c r="Y39" i="1"/>
  <c r="L39" i="1"/>
  <c r="O39" i="1"/>
  <c r="N38" i="1"/>
  <c r="I39" i="1"/>
  <c r="R39" i="1"/>
  <c r="F38" i="1"/>
  <c r="Z38" i="1"/>
  <c r="X38" i="1"/>
  <c r="AF38" i="1"/>
  <c r="K39" i="1"/>
  <c r="W38" i="1"/>
  <c r="AE39" i="1"/>
  <c r="J39" i="1"/>
  <c r="V39" i="1"/>
  <c r="H38" i="1"/>
  <c r="AF39" i="1"/>
  <c r="N39" i="1"/>
  <c r="S38" i="1"/>
  <c r="G38" i="1"/>
  <c r="M39" i="1"/>
  <c r="E39" i="1"/>
  <c r="Z39" i="1"/>
  <c r="AC38" i="1"/>
  <c r="AD38" i="1"/>
  <c r="V38" i="1"/>
  <c r="Q39" i="1"/>
  <c r="AE38" i="1"/>
  <c r="R38" i="1"/>
  <c r="P38" i="1"/>
  <c r="U38" i="1"/>
  <c r="D38" i="1"/>
  <c r="D39" i="1"/>
  <c r="L38" i="1"/>
  <c r="O38" i="1"/>
  <c r="M38" i="1"/>
  <c r="U39" i="1"/>
  <c r="I38" i="1"/>
  <c r="P39" i="1"/>
  <c r="Q38" i="1"/>
  <c r="H39" i="1"/>
  <c r="K38" i="1"/>
  <c r="X39" i="1"/>
  <c r="J38" i="1"/>
  <c r="E38" i="1"/>
  <c r="AB39" i="1"/>
  <c r="F39" i="1"/>
  <c r="W39" i="1"/>
  <c r="Y38" i="1"/>
  <c r="AA39" i="1"/>
  <c r="T39" i="1"/>
  <c r="T38" i="1"/>
</calcChain>
</file>

<file path=xl/sharedStrings.xml><?xml version="1.0" encoding="utf-8"?>
<sst xmlns="http://schemas.openxmlformats.org/spreadsheetml/2006/main" count="526" uniqueCount="253">
  <si>
    <t>WP</t>
    <phoneticPr fontId="0" type="noConversion"/>
  </si>
  <si>
    <t>NR</t>
    <phoneticPr fontId="0" type="noConversion"/>
  </si>
  <si>
    <t>NG</t>
    <phoneticPr fontId="0" type="noConversion"/>
  </si>
  <si>
    <t>WG</t>
    <phoneticPr fontId="0" type="noConversion"/>
  </si>
  <si>
    <t>VR</t>
    <phoneticPr fontId="0" type="noConversion"/>
  </si>
  <si>
    <t>VK</t>
    <phoneticPr fontId="0" type="noConversion"/>
  </si>
  <si>
    <t>IG</t>
    <phoneticPr fontId="0" type="noConversion"/>
  </si>
  <si>
    <t>VI</t>
    <phoneticPr fontId="0" type="noConversion"/>
  </si>
  <si>
    <t>VN</t>
    <phoneticPr fontId="0" type="noConversion"/>
  </si>
  <si>
    <t>VY</t>
    <phoneticPr fontId="0" type="noConversion"/>
  </si>
  <si>
    <t>VL</t>
    <phoneticPr fontId="0" type="noConversion"/>
  </si>
  <si>
    <t>VT</t>
    <phoneticPr fontId="0" type="noConversion"/>
  </si>
  <si>
    <t>VA</t>
    <phoneticPr fontId="0" type="noConversion"/>
  </si>
  <si>
    <t>NE</t>
    <phoneticPr fontId="0" type="noConversion"/>
  </si>
  <si>
    <t>NC</t>
    <phoneticPr fontId="0" type="noConversion"/>
  </si>
  <si>
    <t>QE</t>
    <phoneticPr fontId="0" type="noConversion"/>
  </si>
  <si>
    <t>NV</t>
    <phoneticPr fontId="0" type="noConversion"/>
  </si>
  <si>
    <t>WH</t>
    <phoneticPr fontId="0" type="noConversion"/>
  </si>
  <si>
    <t>VD</t>
    <phoneticPr fontId="0" type="noConversion"/>
  </si>
  <si>
    <t>IV</t>
    <phoneticPr fontId="0" type="noConversion"/>
  </si>
  <si>
    <t>NF</t>
    <phoneticPr fontId="0" type="noConversion"/>
  </si>
  <si>
    <t>VE</t>
    <phoneticPr fontId="0" type="noConversion"/>
  </si>
  <si>
    <t>NH</t>
    <phoneticPr fontId="0" type="noConversion"/>
  </si>
  <si>
    <t>WY</t>
    <phoneticPr fontId="0" type="noConversion"/>
  </si>
  <si>
    <t>WR</t>
    <phoneticPr fontId="0" type="noConversion"/>
  </si>
  <si>
    <t>WD</t>
    <phoneticPr fontId="0" type="noConversion"/>
  </si>
  <si>
    <t>WQ</t>
    <phoneticPr fontId="0" type="noConversion"/>
  </si>
  <si>
    <t>NY</t>
    <phoneticPr fontId="0" type="noConversion"/>
  </si>
  <si>
    <t>blank</t>
    <phoneticPr fontId="0" type="noConversion"/>
  </si>
  <si>
    <t>OD518</t>
    <phoneticPr fontId="3" type="noConversion"/>
  </si>
  <si>
    <t>I</t>
    <phoneticPr fontId="3" type="noConversion"/>
  </si>
  <si>
    <t>II</t>
    <phoneticPr fontId="3" type="noConversion"/>
  </si>
  <si>
    <r>
      <rPr>
        <sz val="10"/>
        <rFont val="宋体"/>
        <family val="2"/>
        <charset val="134"/>
      </rPr>
      <t>乳果糖产量</t>
    </r>
    <r>
      <rPr>
        <sz val="11"/>
        <color theme="1"/>
        <rFont val="Times New Roman"/>
        <family val="1"/>
      </rPr>
      <t xml:space="preserve"> mg/ml</t>
    </r>
    <phoneticPr fontId="3" type="noConversion"/>
  </si>
  <si>
    <r>
      <rPr>
        <sz val="10"/>
        <rFont val="宋体"/>
        <family val="2"/>
        <charset val="134"/>
      </rPr>
      <t>净乳果糖产量</t>
    </r>
    <r>
      <rPr>
        <sz val="11"/>
        <color theme="1"/>
        <rFont val="Times New Roman"/>
        <family val="1"/>
      </rPr>
      <t xml:space="preserve"> mg/ml</t>
    </r>
    <phoneticPr fontId="3" type="noConversion"/>
  </si>
  <si>
    <r>
      <rPr>
        <sz val="10"/>
        <rFont val="宋体"/>
        <family val="2"/>
        <charset val="134"/>
      </rPr>
      <t>净乳果糖产量</t>
    </r>
    <r>
      <rPr>
        <sz val="11"/>
        <color theme="1"/>
        <rFont val="Times New Roman"/>
        <family val="1"/>
      </rPr>
      <t xml:space="preserve"> </t>
    </r>
    <r>
      <rPr>
        <sz val="10"/>
        <rFont val="Times New Roman"/>
        <family val="1"/>
      </rPr>
      <t>μmol/L</t>
    </r>
    <phoneticPr fontId="3" type="noConversion"/>
  </si>
  <si>
    <r>
      <rPr>
        <sz val="10"/>
        <rFont val="宋体"/>
        <family val="2"/>
        <charset val="134"/>
      </rPr>
      <t>体积酶活（</t>
    </r>
    <r>
      <rPr>
        <sz val="10"/>
        <rFont val="Times New Roman"/>
        <family val="1"/>
      </rPr>
      <t>U/L</t>
    </r>
    <r>
      <rPr>
        <sz val="10"/>
        <rFont val="宋体"/>
        <family val="2"/>
        <charset val="134"/>
      </rPr>
      <t>）</t>
    </r>
    <phoneticPr fontId="3" type="noConversion"/>
  </si>
  <si>
    <t>ave</t>
    <phoneticPr fontId="3" type="noConversion"/>
  </si>
  <si>
    <t>error bar</t>
    <phoneticPr fontId="3" type="noConversion"/>
  </si>
  <si>
    <t>WN</t>
    <phoneticPr fontId="0" type="noConversion"/>
  </si>
  <si>
    <r>
      <rPr>
        <sz val="10"/>
        <rFont val="宋体"/>
        <family val="2"/>
        <charset val="134"/>
      </rPr>
      <t>乳果糖浓度（</t>
    </r>
    <r>
      <rPr>
        <sz val="10"/>
        <rFont val="Arial"/>
        <family val="2"/>
      </rPr>
      <t>mg/mL</t>
    </r>
    <r>
      <rPr>
        <sz val="10"/>
        <rFont val="宋体"/>
        <family val="2"/>
        <charset val="134"/>
      </rPr>
      <t>）</t>
    </r>
    <phoneticPr fontId="0" type="noConversion"/>
  </si>
  <si>
    <t>OD518</t>
    <phoneticPr fontId="0" type="noConversion"/>
  </si>
  <si>
    <t>VG</t>
    <phoneticPr fontId="0" type="noConversion"/>
  </si>
  <si>
    <t>VQ</t>
    <phoneticPr fontId="0" type="noConversion"/>
  </si>
  <si>
    <t>VC</t>
    <phoneticPr fontId="0" type="noConversion"/>
  </si>
  <si>
    <t>VP</t>
    <phoneticPr fontId="0" type="noConversion"/>
  </si>
  <si>
    <t>VM</t>
    <phoneticPr fontId="0" type="noConversion"/>
  </si>
  <si>
    <t>IN</t>
    <phoneticPr fontId="0" type="noConversion"/>
  </si>
  <si>
    <t>WT</t>
    <phoneticPr fontId="0" type="noConversion"/>
  </si>
  <si>
    <t>VS</t>
    <phoneticPr fontId="0" type="noConversion"/>
  </si>
  <si>
    <t>VW</t>
    <phoneticPr fontId="0" type="noConversion"/>
  </si>
  <si>
    <t>IQ</t>
    <phoneticPr fontId="0" type="noConversion"/>
  </si>
  <si>
    <t>IK</t>
    <phoneticPr fontId="0" type="noConversion"/>
  </si>
  <si>
    <t>ID</t>
    <phoneticPr fontId="0" type="noConversion"/>
  </si>
  <si>
    <t>IE</t>
    <phoneticPr fontId="0" type="noConversion"/>
  </si>
  <si>
    <t>IR</t>
    <phoneticPr fontId="0" type="noConversion"/>
  </si>
  <si>
    <t>EH</t>
    <phoneticPr fontId="0" type="noConversion"/>
  </si>
  <si>
    <t>EI</t>
    <phoneticPr fontId="0" type="noConversion"/>
  </si>
  <si>
    <t>Opt</t>
    <phoneticPr fontId="0" type="noConversion"/>
  </si>
  <si>
    <t xml:space="preserve"> </t>
    <phoneticPr fontId="0" type="noConversion"/>
  </si>
  <si>
    <t>QF</t>
    <phoneticPr fontId="0" type="noConversion"/>
  </si>
  <si>
    <t>QM</t>
    <phoneticPr fontId="0" type="noConversion"/>
  </si>
  <si>
    <t>QW</t>
    <phoneticPr fontId="0" type="noConversion"/>
  </si>
  <si>
    <t>QG</t>
    <phoneticPr fontId="0" type="noConversion"/>
  </si>
  <si>
    <t>QC</t>
    <phoneticPr fontId="0" type="noConversion"/>
  </si>
  <si>
    <t>QI</t>
    <phoneticPr fontId="0" type="noConversion"/>
  </si>
  <si>
    <t>WM</t>
    <phoneticPr fontId="0" type="noConversion"/>
  </si>
  <si>
    <t>WE</t>
    <phoneticPr fontId="0" type="noConversion"/>
  </si>
  <si>
    <t>WS</t>
    <phoneticPr fontId="0" type="noConversion"/>
  </si>
  <si>
    <t>WF</t>
    <phoneticPr fontId="0" type="noConversion"/>
  </si>
  <si>
    <t>QR</t>
    <phoneticPr fontId="0" type="noConversion"/>
  </si>
  <si>
    <t>WL</t>
    <phoneticPr fontId="0" type="noConversion"/>
  </si>
  <si>
    <t>QD</t>
    <phoneticPr fontId="0" type="noConversion"/>
  </si>
  <si>
    <t>QT</t>
    <phoneticPr fontId="0" type="noConversion"/>
  </si>
  <si>
    <t>QA</t>
    <phoneticPr fontId="0" type="noConversion"/>
  </si>
  <si>
    <t>QL</t>
    <phoneticPr fontId="0" type="noConversion"/>
  </si>
  <si>
    <t>QV</t>
    <phoneticPr fontId="0" type="noConversion"/>
  </si>
  <si>
    <t>QS</t>
    <phoneticPr fontId="0" type="noConversion"/>
  </si>
  <si>
    <t>QP</t>
    <phoneticPr fontId="0" type="noConversion"/>
  </si>
  <si>
    <t>QH</t>
    <phoneticPr fontId="0" type="noConversion"/>
  </si>
  <si>
    <t>WK</t>
    <phoneticPr fontId="0" type="noConversion"/>
  </si>
  <si>
    <t>QK</t>
    <phoneticPr fontId="0" type="noConversion"/>
  </si>
  <si>
    <t>WI</t>
    <phoneticPr fontId="0" type="noConversion"/>
  </si>
  <si>
    <t>QY</t>
    <phoneticPr fontId="0" type="noConversion"/>
  </si>
  <si>
    <t>WA</t>
    <phoneticPr fontId="0" type="noConversion"/>
  </si>
  <si>
    <t>WV</t>
    <phoneticPr fontId="0" type="noConversion"/>
  </si>
  <si>
    <t>WC</t>
    <phoneticPr fontId="0" type="noConversion"/>
  </si>
  <si>
    <t>GM</t>
    <phoneticPr fontId="0" type="noConversion"/>
  </si>
  <si>
    <t>GN</t>
    <phoneticPr fontId="0" type="noConversion"/>
  </si>
  <si>
    <t>GI</t>
    <phoneticPr fontId="0" type="noConversion"/>
  </si>
  <si>
    <t>GA</t>
    <phoneticPr fontId="0" type="noConversion"/>
  </si>
  <si>
    <t>GK</t>
    <phoneticPr fontId="0" type="noConversion"/>
  </si>
  <si>
    <t>GD</t>
    <phoneticPr fontId="0" type="noConversion"/>
  </si>
  <si>
    <t>GY</t>
    <phoneticPr fontId="0" type="noConversion"/>
  </si>
  <si>
    <t>GW</t>
    <phoneticPr fontId="0" type="noConversion"/>
  </si>
  <si>
    <t>GF</t>
    <phoneticPr fontId="0" type="noConversion"/>
  </si>
  <si>
    <t>GR</t>
    <phoneticPr fontId="0" type="noConversion"/>
  </si>
  <si>
    <t>GS</t>
    <phoneticPr fontId="0" type="noConversion"/>
  </si>
  <si>
    <t>GV</t>
    <phoneticPr fontId="0" type="noConversion"/>
  </si>
  <si>
    <t>GE</t>
    <phoneticPr fontId="0" type="noConversion"/>
  </si>
  <si>
    <t>GP</t>
    <phoneticPr fontId="0" type="noConversion"/>
  </si>
  <si>
    <t>GC</t>
    <phoneticPr fontId="0" type="noConversion"/>
  </si>
  <si>
    <t>GH</t>
    <phoneticPr fontId="0" type="noConversion"/>
  </si>
  <si>
    <t>GT</t>
    <phoneticPr fontId="0" type="noConversion"/>
  </si>
  <si>
    <t>GQ</t>
    <phoneticPr fontId="0" type="noConversion"/>
  </si>
  <si>
    <t>GL</t>
    <phoneticPr fontId="0" type="noConversion"/>
  </si>
  <si>
    <t>IA</t>
    <phoneticPr fontId="0" type="noConversion"/>
  </si>
  <si>
    <t>IC</t>
    <phoneticPr fontId="0" type="noConversion"/>
  </si>
  <si>
    <t>IL</t>
    <phoneticPr fontId="0" type="noConversion"/>
  </si>
  <si>
    <t>IP</t>
    <phoneticPr fontId="0" type="noConversion"/>
  </si>
  <si>
    <t>IT</t>
    <phoneticPr fontId="0" type="noConversion"/>
  </si>
  <si>
    <t>IM</t>
    <phoneticPr fontId="0" type="noConversion"/>
  </si>
  <si>
    <t>IF</t>
    <phoneticPr fontId="0" type="noConversion"/>
  </si>
  <si>
    <t>IS</t>
    <phoneticPr fontId="0" type="noConversion"/>
  </si>
  <si>
    <t>IY</t>
    <phoneticPr fontId="0" type="noConversion"/>
  </si>
  <si>
    <t>IW</t>
    <phoneticPr fontId="0" type="noConversion"/>
  </si>
  <si>
    <t>blank</t>
    <phoneticPr fontId="9" type="noConversion"/>
  </si>
  <si>
    <t>NT</t>
    <phoneticPr fontId="0" type="noConversion"/>
  </si>
  <si>
    <t>EV</t>
    <phoneticPr fontId="0" type="noConversion"/>
  </si>
  <si>
    <t>NL</t>
    <phoneticPr fontId="0" type="noConversion"/>
  </si>
  <si>
    <t>EP</t>
    <phoneticPr fontId="0" type="noConversion"/>
  </si>
  <si>
    <t>EL</t>
    <phoneticPr fontId="0" type="noConversion"/>
  </si>
  <si>
    <t>EG</t>
    <phoneticPr fontId="0" type="noConversion"/>
  </si>
  <si>
    <t>EY</t>
    <phoneticPr fontId="0" type="noConversion"/>
  </si>
  <si>
    <t>EN</t>
    <phoneticPr fontId="0" type="noConversion"/>
  </si>
  <si>
    <t>EF</t>
    <phoneticPr fontId="0" type="noConversion"/>
  </si>
  <si>
    <t>NA</t>
    <phoneticPr fontId="0" type="noConversion"/>
  </si>
  <si>
    <t>ES</t>
    <phoneticPr fontId="0" type="noConversion"/>
  </si>
  <si>
    <t>EQ</t>
    <phoneticPr fontId="0" type="noConversion"/>
  </si>
  <si>
    <t>NS</t>
    <phoneticPr fontId="0" type="noConversion"/>
  </si>
  <si>
    <t>NP</t>
    <phoneticPr fontId="0" type="noConversion"/>
  </si>
  <si>
    <t>NM</t>
    <phoneticPr fontId="0" type="noConversion"/>
  </si>
  <si>
    <t>ND</t>
    <phoneticPr fontId="0" type="noConversion"/>
  </si>
  <si>
    <t>ED</t>
    <phoneticPr fontId="0" type="noConversion"/>
  </si>
  <si>
    <t>NW</t>
    <phoneticPr fontId="0" type="noConversion"/>
  </si>
  <si>
    <t>EA</t>
    <phoneticPr fontId="0" type="noConversion"/>
  </si>
  <si>
    <t>ET</t>
    <phoneticPr fontId="0" type="noConversion"/>
  </si>
  <si>
    <t>NQ</t>
    <phoneticPr fontId="0" type="noConversion"/>
  </si>
  <si>
    <t>EK</t>
    <phoneticPr fontId="0" type="noConversion"/>
  </si>
  <si>
    <t>EW</t>
    <phoneticPr fontId="0" type="noConversion"/>
  </si>
  <si>
    <t>EM</t>
    <phoneticPr fontId="0" type="noConversion"/>
  </si>
  <si>
    <t>EC</t>
    <phoneticPr fontId="0" type="noConversion"/>
  </si>
  <si>
    <t>ER</t>
    <phoneticPr fontId="0" type="noConversion"/>
  </si>
  <si>
    <t>NI</t>
    <phoneticPr fontId="0" type="noConversion"/>
  </si>
  <si>
    <t>NK</t>
    <phoneticPr fontId="0" type="noConversion"/>
  </si>
  <si>
    <t>VH</t>
    <phoneticPr fontId="0" type="noConversion"/>
  </si>
  <si>
    <t>QN</t>
    <phoneticPr fontId="0" type="noConversion"/>
  </si>
  <si>
    <t>VF</t>
    <phoneticPr fontId="0" type="noConversion"/>
  </si>
  <si>
    <t>IH</t>
    <phoneticPr fontId="8" type="noConversion"/>
  </si>
  <si>
    <t>opt</t>
    <phoneticPr fontId="0" type="noConversion"/>
  </si>
  <si>
    <t>QE/WA</t>
    <phoneticPr fontId="0" type="noConversion"/>
  </si>
  <si>
    <t>QE/IA</t>
    <phoneticPr fontId="0" type="noConversion"/>
  </si>
  <si>
    <t>QE/IP</t>
    <phoneticPr fontId="0" type="noConversion"/>
  </si>
  <si>
    <t>QE/NT</t>
    <phoneticPr fontId="0" type="noConversion"/>
  </si>
  <si>
    <t>QE/VQ</t>
    <phoneticPr fontId="0" type="noConversion"/>
  </si>
  <si>
    <t>QF/EP</t>
    <phoneticPr fontId="0" type="noConversion"/>
  </si>
  <si>
    <t>QE/EP</t>
    <phoneticPr fontId="0" type="noConversion"/>
  </si>
  <si>
    <t>WA/EH</t>
    <phoneticPr fontId="0" type="noConversion"/>
  </si>
  <si>
    <t>WA/IP</t>
    <phoneticPr fontId="0" type="noConversion"/>
  </si>
  <si>
    <t>WA/EP</t>
    <phoneticPr fontId="0" type="noConversion"/>
  </si>
  <si>
    <t>VQ/WA</t>
    <phoneticPr fontId="0" type="noConversion"/>
  </si>
  <si>
    <t>VQ/WS</t>
    <phoneticPr fontId="0" type="noConversion"/>
  </si>
  <si>
    <t>QS/IS</t>
    <phoneticPr fontId="0" type="noConversion"/>
  </si>
  <si>
    <t>QS/VQ</t>
  </si>
  <si>
    <t>EP/VQ</t>
  </si>
  <si>
    <t>EP/NT</t>
  </si>
  <si>
    <t>EP/IA</t>
  </si>
  <si>
    <t>NT/VQ</t>
  </si>
  <si>
    <t>NT/IA</t>
  </si>
  <si>
    <t>VQ/IA</t>
  </si>
  <si>
    <t>QE</t>
  </si>
  <si>
    <t>error percent</t>
    <phoneticPr fontId="8" type="noConversion"/>
  </si>
  <si>
    <t>batch</t>
    <phoneticPr fontId="8" type="noConversion"/>
  </si>
  <si>
    <t>std_curve_slope</t>
    <phoneticPr fontId="8" type="noConversion"/>
  </si>
  <si>
    <t>std_curve_intercept</t>
    <phoneticPr fontId="8" type="noConversion"/>
  </si>
  <si>
    <t>std_curve_r2</t>
    <phoneticPr fontId="8" type="noConversion"/>
  </si>
  <si>
    <t>sample_name</t>
    <phoneticPr fontId="8" type="noConversion"/>
  </si>
  <si>
    <t>OD518 I</t>
    <phoneticPr fontId="3" type="noConversion"/>
  </si>
  <si>
    <t>OD518 II</t>
    <phoneticPr fontId="3" type="noConversion"/>
  </si>
  <si>
    <r>
      <rPr>
        <sz val="11"/>
        <color theme="1"/>
        <rFont val="SimSun"/>
        <family val="1"/>
        <charset val="134"/>
      </rPr>
      <t>乳果糖产量</t>
    </r>
    <r>
      <rPr>
        <sz val="11"/>
        <color theme="1"/>
        <rFont val="Times New Roman"/>
        <family val="1"/>
      </rPr>
      <t xml:space="preserve"> mg/ml I</t>
    </r>
    <phoneticPr fontId="3" type="noConversion"/>
  </si>
  <si>
    <r>
      <rPr>
        <sz val="11"/>
        <color theme="1"/>
        <rFont val="SimSun"/>
        <family val="1"/>
        <charset val="134"/>
      </rPr>
      <t>乳果糖产量</t>
    </r>
    <r>
      <rPr>
        <sz val="11"/>
        <color theme="1"/>
        <rFont val="Times New Roman"/>
        <family val="1"/>
      </rPr>
      <t xml:space="preserve"> mg/ml II</t>
    </r>
    <phoneticPr fontId="3" type="noConversion"/>
  </si>
  <si>
    <r>
      <rPr>
        <sz val="11"/>
        <color theme="1"/>
        <rFont val="SimSun"/>
        <family val="1"/>
        <charset val="134"/>
      </rPr>
      <t>净乳果糖产量</t>
    </r>
    <r>
      <rPr>
        <sz val="11"/>
        <color theme="1"/>
        <rFont val="Times New Roman"/>
        <family val="1"/>
      </rPr>
      <t xml:space="preserve"> mg/ml I</t>
    </r>
    <phoneticPr fontId="3" type="noConversion"/>
  </si>
  <si>
    <r>
      <rPr>
        <sz val="11"/>
        <color theme="1"/>
        <rFont val="SimSun"/>
        <family val="1"/>
        <charset val="134"/>
      </rPr>
      <t>净乳果糖产量</t>
    </r>
    <r>
      <rPr>
        <sz val="11"/>
        <color theme="1"/>
        <rFont val="Times New Roman"/>
        <family val="1"/>
      </rPr>
      <t xml:space="preserve"> mg/ml II</t>
    </r>
    <phoneticPr fontId="3" type="noConversion"/>
  </si>
  <si>
    <r>
      <rPr>
        <sz val="11"/>
        <color theme="1"/>
        <rFont val="SimSun"/>
        <family val="1"/>
        <charset val="134"/>
      </rPr>
      <t>净乳果糖产量</t>
    </r>
    <r>
      <rPr>
        <sz val="11"/>
        <color theme="1"/>
        <rFont val="Times New Roman"/>
        <family val="1"/>
      </rPr>
      <t xml:space="preserve"> μmol/L I</t>
    </r>
    <phoneticPr fontId="3" type="noConversion"/>
  </si>
  <si>
    <r>
      <rPr>
        <sz val="11"/>
        <color theme="1"/>
        <rFont val="SimSun"/>
        <family val="1"/>
        <charset val="134"/>
      </rPr>
      <t>净乳果糖产量</t>
    </r>
    <r>
      <rPr>
        <sz val="11"/>
        <color theme="1"/>
        <rFont val="Times New Roman"/>
        <family val="1"/>
      </rPr>
      <t xml:space="preserve"> μmol/L II</t>
    </r>
    <phoneticPr fontId="3" type="noConversion"/>
  </si>
  <si>
    <r>
      <rPr>
        <sz val="11"/>
        <color theme="1"/>
        <rFont val="SimSun"/>
        <family val="1"/>
        <charset val="134"/>
      </rPr>
      <t>体积酶活（</t>
    </r>
    <r>
      <rPr>
        <sz val="11"/>
        <color theme="1"/>
        <rFont val="Times New Roman"/>
        <family val="1"/>
      </rPr>
      <t>U/L</t>
    </r>
    <r>
      <rPr>
        <sz val="11"/>
        <color theme="1"/>
        <rFont val="SimSun"/>
        <family val="1"/>
        <charset val="134"/>
      </rPr>
      <t>）</t>
    </r>
    <r>
      <rPr>
        <sz val="11"/>
        <color theme="1"/>
        <rFont val="Times New Roman"/>
        <family val="1"/>
      </rPr>
      <t xml:space="preserve"> I</t>
    </r>
    <phoneticPr fontId="3" type="noConversion"/>
  </si>
  <si>
    <r>
      <rPr>
        <sz val="11"/>
        <color theme="1"/>
        <rFont val="SimSun"/>
        <family val="1"/>
        <charset val="134"/>
      </rPr>
      <t>体积酶活（</t>
    </r>
    <r>
      <rPr>
        <sz val="11"/>
        <color theme="1"/>
        <rFont val="Times New Roman"/>
        <family val="1"/>
      </rPr>
      <t>U/L</t>
    </r>
    <r>
      <rPr>
        <sz val="11"/>
        <color theme="1"/>
        <rFont val="SimSun"/>
        <family val="1"/>
        <charset val="134"/>
      </rPr>
      <t>）</t>
    </r>
    <r>
      <rPr>
        <sz val="11"/>
        <color theme="1"/>
        <rFont val="Times New Roman"/>
        <family val="1"/>
      </rPr>
      <t xml:space="preserve"> II</t>
    </r>
    <phoneticPr fontId="3" type="noConversion"/>
  </si>
  <si>
    <t>blank</t>
  </si>
  <si>
    <t>EQ/IY</t>
  </si>
  <si>
    <t>ES/IR</t>
  </si>
  <si>
    <t>NP/IE</t>
  </si>
  <si>
    <t>NP/IR</t>
  </si>
  <si>
    <t>NQ/IR</t>
  </si>
  <si>
    <t>IE/EN/NP</t>
  </si>
  <si>
    <t>EV/QP</t>
  </si>
  <si>
    <t>NS/QP</t>
  </si>
  <si>
    <t>NT/VI/QP</t>
  </si>
  <si>
    <t>IR/NQ/VI/QP</t>
  </si>
  <si>
    <t>EG/IQ</t>
  </si>
  <si>
    <t>VH/IR/ER</t>
  </si>
  <si>
    <t>IH/VI/NV/QE</t>
  </si>
  <si>
    <t>ES/QP</t>
  </si>
  <si>
    <t>NE/QP</t>
  </si>
  <si>
    <t>NY/QP</t>
  </si>
  <si>
    <t>IC/QP</t>
  </si>
  <si>
    <t>IS/QP</t>
  </si>
  <si>
    <t>IM/QS</t>
  </si>
  <si>
    <t>NP/QS</t>
  </si>
  <si>
    <t>NQ/IF/VC/QS</t>
  </si>
  <si>
    <t>IY/QR</t>
  </si>
  <si>
    <t>IY/QP</t>
  </si>
  <si>
    <t>EG/IF/QC</t>
  </si>
  <si>
    <t>IC/GL/QC</t>
  </si>
  <si>
    <t>NE/VM/QD</t>
  </si>
  <si>
    <t>IM/QA</t>
  </si>
  <si>
    <t>VH/IL/EQ/GH/QA</t>
  </si>
  <si>
    <t>opt</t>
  </si>
  <si>
    <t>NW/IA</t>
  </si>
  <si>
    <t>NQ/QP</t>
  </si>
  <si>
    <t>IN/NA/QS</t>
  </si>
  <si>
    <t>NE/IR/VQ/QR</t>
  </si>
  <si>
    <t>NG/EN/QC</t>
  </si>
  <si>
    <t>NW/QF</t>
  </si>
  <si>
    <t>IE/QL</t>
  </si>
  <si>
    <t>IY/WG</t>
  </si>
  <si>
    <t>IQ/WY/QC</t>
  </si>
  <si>
    <t>EI/IH</t>
  </si>
  <si>
    <t>EK/IY</t>
  </si>
  <si>
    <t>VC/IM/NQ</t>
  </si>
  <si>
    <t>IL/EP/VM/GK</t>
  </si>
  <si>
    <t>IM/QP</t>
  </si>
  <si>
    <t>IS/EN/QP</t>
  </si>
  <si>
    <t>WY/QS</t>
  </si>
  <si>
    <t>WM/QN</t>
  </si>
  <si>
    <t>EL/QN</t>
  </si>
  <si>
    <t>blank</t>
    <phoneticPr fontId="8" type="noConversion"/>
  </si>
  <si>
    <t>IY/QS</t>
    <phoneticPr fontId="13" type="noConversion"/>
  </si>
  <si>
    <t>IT/EL/VA/NP/QS</t>
    <phoneticPr fontId="13" type="noConversion"/>
  </si>
  <si>
    <t>IV/VQ/NC/WC/QD</t>
    <phoneticPr fontId="13" type="noConversion"/>
  </si>
  <si>
    <t>NP/IC/WG/QI</t>
    <phoneticPr fontId="13" type="noConversion"/>
  </si>
  <si>
    <t>IR/ET/WE/QP</t>
    <phoneticPr fontId="13" type="noConversion"/>
  </si>
  <si>
    <t>VQ/NT</t>
    <phoneticPr fontId="0" type="noConversion"/>
  </si>
  <si>
    <t>WA/QE</t>
    <phoneticPr fontId="0" type="noConversion"/>
  </si>
  <si>
    <t>NT/IA</t>
    <phoneticPr fontId="0" type="noConversion"/>
  </si>
  <si>
    <t>EP/NT</t>
    <phoneticPr fontId="0" type="noConversion"/>
  </si>
  <si>
    <t>EP/WA</t>
    <phoneticPr fontId="0" type="noConversion"/>
  </si>
  <si>
    <t>QF/IP</t>
    <phoneticPr fontId="0" type="noConversion"/>
  </si>
  <si>
    <t>EP/VQ</t>
    <phoneticPr fontId="0" type="noConversion"/>
  </si>
  <si>
    <t>QE/IS</t>
    <phoneticPr fontId="0" type="noConversion"/>
  </si>
  <si>
    <t>EH/WA</t>
    <phoneticPr fontId="0" type="noConversion"/>
  </si>
  <si>
    <t>QS/VQ</t>
    <phoneticPr fontId="0" type="noConversion"/>
  </si>
  <si>
    <t>VQ/IA</t>
    <phoneticPr fontId="0" type="noConversion"/>
  </si>
  <si>
    <t>EP/IA</t>
    <phoneticPr fontId="0" type="noConversion"/>
  </si>
  <si>
    <t>EP/QF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</si>
</sst>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16">
    <font>
      <sz val="1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name val="宋体"/>
      <family val="2"/>
      <charset val="134"/>
    </font>
    <font>
      <sz val="10"/>
      <name val="Arial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Times New Roman"/>
      <family val="1"/>
    </font>
    <font>
      <sz val="11"/>
      <color theme="1"/>
      <name val="SimSun"/>
      <family val="1"/>
      <charset val="134"/>
    </font>
    <font>
      <sz val="11"/>
      <color theme="1"/>
      <name val="Times New Roman"/>
      <family val="1"/>
      <charset val="134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5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/>
    </xf>
    <xf numFmtId="0" fontId="7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0" xfId="0" applyFont="1"/>
    <xf numFmtId="0" fontId="0" fillId="0" borderId="1" xfId="0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76" fontId="10" fillId="0" borderId="0" xfId="0" applyNumberFormat="1" applyFont="1" applyAlignment="1">
      <alignment horizontal="center"/>
    </xf>
    <xf numFmtId="49" fontId="0" fillId="0" borderId="0" xfId="0" applyNumberFormat="1"/>
    <xf numFmtId="9" fontId="0" fillId="0" borderId="0" xfId="1" applyFont="1" applyAlignment="1"/>
    <xf numFmtId="176" fontId="0" fillId="0" borderId="0" xfId="0" applyNumberFormat="1"/>
    <xf numFmtId="176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/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vertical="center"/>
    </xf>
    <xf numFmtId="0" fontId="1" fillId="15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5" fillId="0" borderId="0" xfId="0" applyFont="1"/>
    <xf numFmtId="0" fontId="15" fillId="9" borderId="2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VS error rate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all!$M$3:$M$166</c:f>
              <c:numCache>
                <c:formatCode>0.00_);[Red]\(0.00\)</c:formatCode>
                <c:ptCount val="164"/>
                <c:pt idx="0">
                  <c:v>952.07636818449555</c:v>
                </c:pt>
                <c:pt idx="1">
                  <c:v>822.24776871294671</c:v>
                </c:pt>
                <c:pt idx="2">
                  <c:v>494.97150754508368</c:v>
                </c:pt>
                <c:pt idx="3">
                  <c:v>1652.6098528330613</c:v>
                </c:pt>
                <c:pt idx="4">
                  <c:v>605.86676959369856</c:v>
                </c:pt>
                <c:pt idx="5">
                  <c:v>730.28584408726636</c:v>
                </c:pt>
                <c:pt idx="6">
                  <c:v>1000.7620929863265</c:v>
                </c:pt>
                <c:pt idx="7">
                  <c:v>919.61921831660834</c:v>
                </c:pt>
                <c:pt idx="8">
                  <c:v>681.60011928543531</c:v>
                </c:pt>
                <c:pt idx="9">
                  <c:v>789.7906188450595</c:v>
                </c:pt>
                <c:pt idx="10">
                  <c:v>735.69536906524741</c:v>
                </c:pt>
                <c:pt idx="11">
                  <c:v>906.09540587165532</c:v>
                </c:pt>
                <c:pt idx="12">
                  <c:v>943.9620807175238</c:v>
                </c:pt>
                <c:pt idx="13">
                  <c:v>846.59063111386217</c:v>
                </c:pt>
                <c:pt idx="14">
                  <c:v>808.72395626799369</c:v>
                </c:pt>
                <c:pt idx="15">
                  <c:v>716.7620316423131</c:v>
                </c:pt>
                <c:pt idx="16">
                  <c:v>1176.5716547707157</c:v>
                </c:pt>
                <c:pt idx="17">
                  <c:v>405.71434540839391</c:v>
                </c:pt>
                <c:pt idx="18">
                  <c:v>787.08585635606869</c:v>
                </c:pt>
                <c:pt idx="19">
                  <c:v>935.84779325055183</c:v>
                </c:pt>
                <c:pt idx="20">
                  <c:v>613.98105706067031</c:v>
                </c:pt>
                <c:pt idx="21">
                  <c:v>943.9620807175238</c:v>
                </c:pt>
                <c:pt idx="22">
                  <c:v>1008.8763804532985</c:v>
                </c:pt>
                <c:pt idx="23">
                  <c:v>1114.3621175239318</c:v>
                </c:pt>
                <c:pt idx="24">
                  <c:v>56.799984328606158</c:v>
                </c:pt>
                <c:pt idx="25">
                  <c:v>795.20014382304043</c:v>
                </c:pt>
                <c:pt idx="26">
                  <c:v>446.28578274325287</c:v>
                </c:pt>
                <c:pt idx="27">
                  <c:v>705.94298168635078</c:v>
                </c:pt>
                <c:pt idx="28">
                  <c:v>659.96201937351043</c:v>
                </c:pt>
                <c:pt idx="29">
                  <c:v>781.67633137808753</c:v>
                </c:pt>
                <c:pt idx="31">
                  <c:v>210.97173542132344</c:v>
                </c:pt>
                <c:pt idx="32">
                  <c:v>843.88615784512456</c:v>
                </c:pt>
                <c:pt idx="33">
                  <c:v>981.82904478364537</c:v>
                </c:pt>
                <c:pt idx="34">
                  <c:v>787.08614557632166</c:v>
                </c:pt>
                <c:pt idx="35">
                  <c:v>797.9051955322841</c:v>
                </c:pt>
                <c:pt idx="36">
                  <c:v>954.78141989373921</c:v>
                </c:pt>
                <c:pt idx="37">
                  <c:v>984.53380727263561</c:v>
                </c:pt>
                <c:pt idx="38">
                  <c:v>738.40042077449107</c:v>
                </c:pt>
                <c:pt idx="39">
                  <c:v>925.02903251484247</c:v>
                </c:pt>
                <c:pt idx="40">
                  <c:v>995.35285722859817</c:v>
                </c:pt>
                <c:pt idx="41">
                  <c:v>463.42353412189942</c:v>
                </c:pt>
                <c:pt idx="42">
                  <c:v>685.62316146922137</c:v>
                </c:pt>
                <c:pt idx="43">
                  <c:v>389.96633934247711</c:v>
                </c:pt>
                <c:pt idx="44">
                  <c:v>528.32808169438204</c:v>
                </c:pt>
                <c:pt idx="45">
                  <c:v>546.68994234841489</c:v>
                </c:pt>
                <c:pt idx="46">
                  <c:v>426.69006065054225</c:v>
                </c:pt>
                <c:pt idx="47">
                  <c:v>702.06604019150325</c:v>
                </c:pt>
                <c:pt idx="48">
                  <c:v>474.30426651068279</c:v>
                </c:pt>
                <c:pt idx="49">
                  <c:v>746.76117977431477</c:v>
                </c:pt>
                <c:pt idx="50">
                  <c:v>306.83304814489532</c:v>
                </c:pt>
                <c:pt idx="51">
                  <c:v>229.09927156357168</c:v>
                </c:pt>
                <c:pt idx="52">
                  <c:v>81.632909562408898</c:v>
                </c:pt>
                <c:pt idx="53">
                  <c:v>579.33188131633324</c:v>
                </c:pt>
                <c:pt idx="54">
                  <c:v>442.39883088668205</c:v>
                </c:pt>
                <c:pt idx="55">
                  <c:v>310.73243624278666</c:v>
                </c:pt>
                <c:pt idx="56">
                  <c:v>394.99892881487978</c:v>
                </c:pt>
                <c:pt idx="57">
                  <c:v>450.29881456531587</c:v>
                </c:pt>
                <c:pt idx="58">
                  <c:v>729.43157121037393</c:v>
                </c:pt>
                <c:pt idx="59">
                  <c:v>684.6649970314495</c:v>
                </c:pt>
                <c:pt idx="60">
                  <c:v>1082.2975088560133</c:v>
                </c:pt>
                <c:pt idx="62">
                  <c:v>248.83794926747322</c:v>
                </c:pt>
                <c:pt idx="63">
                  <c:v>10.818850236300216</c:v>
                </c:pt>
                <c:pt idx="64">
                  <c:v>448.99037345277782</c:v>
                </c:pt>
                <c:pt idx="65">
                  <c:v>1060.266695964654</c:v>
                </c:pt>
                <c:pt idx="66">
                  <c:v>316.45701149223828</c:v>
                </c:pt>
                <c:pt idx="67">
                  <c:v>413.82846109590014</c:v>
                </c:pt>
                <c:pt idx="68">
                  <c:v>605.86659781423282</c:v>
                </c:pt>
                <c:pt idx="69">
                  <c:v>321.8665364702195</c:v>
                </c:pt>
                <c:pt idx="70">
                  <c:v>549.06658554543014</c:v>
                </c:pt>
                <c:pt idx="71">
                  <c:v>619.39041025918573</c:v>
                </c:pt>
                <c:pt idx="72">
                  <c:v>724.8761473298191</c:v>
                </c:pt>
                <c:pt idx="73">
                  <c:v>273.18081166838863</c:v>
                </c:pt>
                <c:pt idx="74">
                  <c:v>516.60943567754293</c:v>
                </c:pt>
                <c:pt idx="75">
                  <c:v>838.47617186742457</c:v>
                </c:pt>
                <c:pt idx="76">
                  <c:v>367.84749878305979</c:v>
                </c:pt>
                <c:pt idx="77">
                  <c:v>846.59045933439643</c:v>
                </c:pt>
                <c:pt idx="78">
                  <c:v>638.32374768212003</c:v>
                </c:pt>
                <c:pt idx="79">
                  <c:v>589.6380228802891</c:v>
                </c:pt>
                <c:pt idx="80">
                  <c:v>484.15228580965567</c:v>
                </c:pt>
                <c:pt idx="81">
                  <c:v>497.67609825460852</c:v>
                </c:pt>
                <c:pt idx="82">
                  <c:v>727.58090981880969</c:v>
                </c:pt>
                <c:pt idx="83">
                  <c:v>497.67609825460869</c:v>
                </c:pt>
                <c:pt idx="84">
                  <c:v>549.06658554543003</c:v>
                </c:pt>
                <c:pt idx="85">
                  <c:v>370.55226127205032</c:v>
                </c:pt>
                <c:pt idx="86">
                  <c:v>578.81897292432677</c:v>
                </c:pt>
                <c:pt idx="87">
                  <c:v>860.11427177934934</c:v>
                </c:pt>
                <c:pt idx="88">
                  <c:v>381.37131122801281</c:v>
                </c:pt>
                <c:pt idx="89">
                  <c:v>632.91422270413887</c:v>
                </c:pt>
                <c:pt idx="90">
                  <c:v>987.23810876190782</c:v>
                </c:pt>
                <c:pt idx="92">
                  <c:v>390.03157982215549</c:v>
                </c:pt>
                <c:pt idx="93">
                  <c:v>520.04214891665492</c:v>
                </c:pt>
                <c:pt idx="94">
                  <c:v>188.64265906793125</c:v>
                </c:pt>
                <c:pt idx="95">
                  <c:v>474.15606570683173</c:v>
                </c:pt>
                <c:pt idx="96">
                  <c:v>586.32204688639968</c:v>
                </c:pt>
                <c:pt idx="97">
                  <c:v>680.64344015103654</c:v>
                </c:pt>
                <c:pt idx="98">
                  <c:v>660.24962539111505</c:v>
                </c:pt>
                <c:pt idx="99">
                  <c:v>308.45632078246956</c:v>
                </c:pt>
                <c:pt idx="100">
                  <c:v>550.63287105653694</c:v>
                </c:pt>
                <c:pt idx="101">
                  <c:v>576.12513950643893</c:v>
                </c:pt>
                <c:pt idx="102">
                  <c:v>701.03725491095793</c:v>
                </c:pt>
                <c:pt idx="103">
                  <c:v>670.44653277107557</c:v>
                </c:pt>
                <c:pt idx="104">
                  <c:v>713.78338913590881</c:v>
                </c:pt>
                <c:pt idx="105">
                  <c:v>489.45142677677279</c:v>
                </c:pt>
                <c:pt idx="106">
                  <c:v>565.92823212647841</c:v>
                </c:pt>
                <c:pt idx="107">
                  <c:v>168.24884430800972</c:v>
                </c:pt>
                <c:pt idx="108">
                  <c:v>1070.6751474345342</c:v>
                </c:pt>
                <c:pt idx="109">
                  <c:v>507.29601469170399</c:v>
                </c:pt>
                <c:pt idx="110">
                  <c:v>736.72643074082032</c:v>
                </c:pt>
                <c:pt idx="111">
                  <c:v>808.10478240054567</c:v>
                </c:pt>
                <c:pt idx="112">
                  <c:v>757.12024550074193</c:v>
                </c:pt>
                <c:pt idx="113">
                  <c:v>290.61173286753848</c:v>
                </c:pt>
                <c:pt idx="114">
                  <c:v>680.64344015103643</c:v>
                </c:pt>
                <c:pt idx="115">
                  <c:v>397.67926035712605</c:v>
                </c:pt>
                <c:pt idx="116">
                  <c:v>527.6898294516252</c:v>
                </c:pt>
                <c:pt idx="117">
                  <c:v>249.82410334769557</c:v>
                </c:pt>
                <c:pt idx="118">
                  <c:v>224.33183489779375</c:v>
                </c:pt>
                <c:pt idx="119">
                  <c:v>581.2235931964193</c:v>
                </c:pt>
                <c:pt idx="120">
                  <c:v>565.92823212647818</c:v>
                </c:pt>
                <c:pt idx="122">
                  <c:v>820.27911024428772</c:v>
                </c:pt>
                <c:pt idx="123">
                  <c:v>1327.3123380430347</c:v>
                </c:pt>
                <c:pt idx="124">
                  <c:v>536.23431770781701</c:v>
                </c:pt>
                <c:pt idx="125">
                  <c:v>666.3109049441448</c:v>
                </c:pt>
                <c:pt idx="126">
                  <c:v>897.26321289435953</c:v>
                </c:pt>
                <c:pt idx="127">
                  <c:v>799.04211640978519</c:v>
                </c:pt>
                <c:pt idx="128">
                  <c:v>584.01755383544742</c:v>
                </c:pt>
                <c:pt idx="129">
                  <c:v>621.18229304582701</c:v>
                </c:pt>
                <c:pt idx="130">
                  <c:v>459.25021505774527</c:v>
                </c:pt>
                <c:pt idx="131">
                  <c:v>650.38315956826784</c:v>
                </c:pt>
                <c:pt idx="132">
                  <c:v>605.25454766995006</c:v>
                </c:pt>
                <c:pt idx="133">
                  <c:v>913.19095827023625</c:v>
                </c:pt>
                <c:pt idx="134">
                  <c:v>926.46407941680013</c:v>
                </c:pt>
                <c:pt idx="135">
                  <c:v>451.2863423698069</c:v>
                </c:pt>
                <c:pt idx="136">
                  <c:v>801.69674063909804</c:v>
                </c:pt>
                <c:pt idx="137">
                  <c:v>873.37159483054415</c:v>
                </c:pt>
                <c:pt idx="138">
                  <c:v>292.00888861103817</c:v>
                </c:pt>
                <c:pt idx="139">
                  <c:v>783.11437103390836</c:v>
                </c:pt>
                <c:pt idx="140">
                  <c:v>615.87304458720132</c:v>
                </c:pt>
                <c:pt idx="141">
                  <c:v>1136.1793935325127</c:v>
                </c:pt>
                <c:pt idx="143" formatCode="General">
                  <c:v>1294.5777129340379</c:v>
                </c:pt>
                <c:pt idx="144" formatCode="General">
                  <c:v>1033.6932308598775</c:v>
                </c:pt>
                <c:pt idx="145" formatCode="General">
                  <c:v>-29.534092310282237</c:v>
                </c:pt>
                <c:pt idx="146" formatCode="General">
                  <c:v>841.72163084304327</c:v>
                </c:pt>
                <c:pt idx="147" formatCode="General">
                  <c:v>930.32390777388991</c:v>
                </c:pt>
                <c:pt idx="148" formatCode="General">
                  <c:v>1063.2273231701599</c:v>
                </c:pt>
                <c:pt idx="149" formatCode="General">
                  <c:v>-44.301138465423342</c:v>
                </c:pt>
                <c:pt idx="150" formatCode="General">
                  <c:v>-49.223487183803719</c:v>
                </c:pt>
                <c:pt idx="151" formatCode="General">
                  <c:v>1983.7065335072884</c:v>
                </c:pt>
                <c:pt idx="152" formatCode="General">
                  <c:v>1412.7140821751664</c:v>
                </c:pt>
                <c:pt idx="153" formatCode="General">
                  <c:v>905.7121641819881</c:v>
                </c:pt>
                <c:pt idx="154" formatCode="General">
                  <c:v>1565.3068924449581</c:v>
                </c:pt>
                <c:pt idx="155" formatCode="General">
                  <c:v>19.689394873521483</c:v>
                </c:pt>
                <c:pt idx="156" formatCode="General">
                  <c:v>-4.9223487183803707</c:v>
                </c:pt>
                <c:pt idx="157" formatCode="General">
                  <c:v>-24.61174359190186</c:v>
                </c:pt>
                <c:pt idx="158" formatCode="General">
                  <c:v>1112.4508103539636</c:v>
                </c:pt>
                <c:pt idx="159" formatCode="General">
                  <c:v>1368.4129437097429</c:v>
                </c:pt>
                <c:pt idx="160" formatCode="General">
                  <c:v>1245.3542257502334</c:v>
                </c:pt>
                <c:pt idx="161" formatCode="General">
                  <c:v>-24.61174359190186</c:v>
                </c:pt>
                <c:pt idx="162" formatCode="General">
                  <c:v>152.59281026979153</c:v>
                </c:pt>
                <c:pt idx="163" formatCode="General">
                  <c:v>-39.378789747042966</c:v>
                </c:pt>
              </c:numCache>
            </c:numRef>
          </c:xVal>
          <c:yVal>
            <c:numRef>
              <c:f>all!$O$3:$O$166</c:f>
              <c:numCache>
                <c:formatCode>0%</c:formatCode>
                <c:ptCount val="164"/>
                <c:pt idx="0">
                  <c:v>6.4282168361502773E-2</c:v>
                </c:pt>
                <c:pt idx="1">
                  <c:v>1.8607763299194967E-2</c:v>
                </c:pt>
                <c:pt idx="2">
                  <c:v>3.8640232840296905E-2</c:v>
                </c:pt>
                <c:pt idx="3">
                  <c:v>3.0089496273190738E-2</c:v>
                </c:pt>
                <c:pt idx="4">
                  <c:v>6.3134958369064284E-2</c:v>
                </c:pt>
                <c:pt idx="5">
                  <c:v>8.3805600971987443E-2</c:v>
                </c:pt>
                <c:pt idx="6">
                  <c:v>9.9376916890564423E-2</c:v>
                </c:pt>
                <c:pt idx="7">
                  <c:v>0.141421082890617</c:v>
                </c:pt>
                <c:pt idx="8">
                  <c:v>0.37038890692058124</c:v>
                </c:pt>
                <c:pt idx="9">
                  <c:v>3.8745901705428937E-2</c:v>
                </c:pt>
                <c:pt idx="10">
                  <c:v>1.0398976584274886E-2</c:v>
                </c:pt>
                <c:pt idx="11">
                  <c:v>4.6437146461358388E-2</c:v>
                </c:pt>
                <c:pt idx="12">
                  <c:v>4.4574338238716968E-2</c:v>
                </c:pt>
                <c:pt idx="13">
                  <c:v>4.9701099355500711E-2</c:v>
                </c:pt>
                <c:pt idx="14">
                  <c:v>4.7301271237145436E-3</c:v>
                </c:pt>
                <c:pt idx="15">
                  <c:v>1.6009609259408846E-2</c:v>
                </c:pt>
                <c:pt idx="16">
                  <c:v>2.2757677173456749E-2</c:v>
                </c:pt>
                <c:pt idx="17">
                  <c:v>0.18856245062711482</c:v>
                </c:pt>
                <c:pt idx="18">
                  <c:v>6.3178252103906818E-2</c:v>
                </c:pt>
                <c:pt idx="19">
                  <c:v>2.7282878075021916E-7</c:v>
                </c:pt>
                <c:pt idx="20">
                  <c:v>3.1149664030335894E-2</c:v>
                </c:pt>
                <c:pt idx="21">
                  <c:v>2.8365586327746349E-2</c:v>
                </c:pt>
                <c:pt idx="22">
                  <c:v>0.21611281739666605</c:v>
                </c:pt>
                <c:pt idx="23">
                  <c:v>0.13043694737581529</c:v>
                </c:pt>
                <c:pt idx="24">
                  <c:v>0.60608732968974643</c:v>
                </c:pt>
                <c:pt idx="25">
                  <c:v>1.9241322608879327E-2</c:v>
                </c:pt>
                <c:pt idx="26">
                  <c:v>2.571354758482125E-2</c:v>
                </c:pt>
                <c:pt idx="27">
                  <c:v>0.31968777426678918</c:v>
                </c:pt>
                <c:pt idx="28">
                  <c:v>0.19706294079959463</c:v>
                </c:pt>
                <c:pt idx="29">
                  <c:v>7.3401763996821578E-2</c:v>
                </c:pt>
                <c:pt idx="30">
                  <c:v>0</c:v>
                </c:pt>
                <c:pt idx="31">
                  <c:v>0.43514209566958817</c:v>
                </c:pt>
                <c:pt idx="32">
                  <c:v>1.8130937493730046E-2</c:v>
                </c:pt>
                <c:pt idx="33">
                  <c:v>5.8438561406147123E-2</c:v>
                </c:pt>
                <c:pt idx="34">
                  <c:v>4.8598388072601893E-3</c:v>
                </c:pt>
                <c:pt idx="35">
                  <c:v>9.1084911478937033E-2</c:v>
                </c:pt>
                <c:pt idx="36">
                  <c:v>4.4068965804651493E-2</c:v>
                </c:pt>
                <c:pt idx="37">
                  <c:v>0.20980085742138554</c:v>
                </c:pt>
                <c:pt idx="38">
                  <c:v>0.1398672259080567</c:v>
                </c:pt>
                <c:pt idx="39">
                  <c:v>3.3081009658945032E-2</c:v>
                </c:pt>
                <c:pt idx="40">
                  <c:v>0.1614047663803512</c:v>
                </c:pt>
                <c:pt idx="41">
                  <c:v>0.40167385470555067</c:v>
                </c:pt>
                <c:pt idx="42">
                  <c:v>3.0613725087467413E-2</c:v>
                </c:pt>
                <c:pt idx="43">
                  <c:v>9.6346520627963755E-2</c:v>
                </c:pt>
                <c:pt idx="44">
                  <c:v>9.6468103237636812E-3</c:v>
                </c:pt>
                <c:pt idx="45">
                  <c:v>7.0816186198181488E-2</c:v>
                </c:pt>
                <c:pt idx="46">
                  <c:v>6.9520559985606675E-2</c:v>
                </c:pt>
                <c:pt idx="47">
                  <c:v>3.5051960681184664E-2</c:v>
                </c:pt>
                <c:pt idx="48">
                  <c:v>0.15612281420309412</c:v>
                </c:pt>
                <c:pt idx="49">
                  <c:v>6.1933997342521412E-2</c:v>
                </c:pt>
                <c:pt idx="50">
                  <c:v>1.7972534465681131E-2</c:v>
                </c:pt>
                <c:pt idx="51">
                  <c:v>0.21131950325843463</c:v>
                </c:pt>
                <c:pt idx="52">
                  <c:v>0.31933954432989237</c:v>
                </c:pt>
                <c:pt idx="53">
                  <c:v>8.9995448145374385E-2</c:v>
                </c:pt>
                <c:pt idx="54">
                  <c:v>0.26937416721969293</c:v>
                </c:pt>
                <c:pt idx="55">
                  <c:v>0.1438184464543088</c:v>
                </c:pt>
                <c:pt idx="56">
                  <c:v>0.24513050913296119</c:v>
                </c:pt>
                <c:pt idx="57">
                  <c:v>0.10751337267102805</c:v>
                </c:pt>
                <c:pt idx="58">
                  <c:v>4.594919318742139E-2</c:v>
                </c:pt>
                <c:pt idx="59">
                  <c:v>5.4392849589654686E-2</c:v>
                </c:pt>
                <c:pt idx="60">
                  <c:v>6.5377284717372641E-2</c:v>
                </c:pt>
                <c:pt idx="61">
                  <c:v>0</c:v>
                </c:pt>
                <c:pt idx="62">
                  <c:v>0.52264451229026176</c:v>
                </c:pt>
                <c:pt idx="63">
                  <c:v>0.70711868908455722</c:v>
                </c:pt>
                <c:pt idx="64">
                  <c:v>6.8154928395160519E-2</c:v>
                </c:pt>
                <c:pt idx="65">
                  <c:v>7.9369131762175998E-2</c:v>
                </c:pt>
                <c:pt idx="66">
                  <c:v>0.3021825366703752</c:v>
                </c:pt>
                <c:pt idx="67">
                  <c:v>0.10167550399850543</c:v>
                </c:pt>
                <c:pt idx="68">
                  <c:v>2.0455595622176164E-8</c:v>
                </c:pt>
                <c:pt idx="69">
                  <c:v>3.5652426366743754E-2</c:v>
                </c:pt>
                <c:pt idx="70">
                  <c:v>6.9665943785140487E-3</c:v>
                </c:pt>
                <c:pt idx="71">
                  <c:v>6.175587058194168E-3</c:v>
                </c:pt>
                <c:pt idx="72">
                  <c:v>7.3876831142674015E-2</c:v>
                </c:pt>
                <c:pt idx="73">
                  <c:v>0.12601907707479823</c:v>
                </c:pt>
                <c:pt idx="74">
                  <c:v>0.25914915830670249</c:v>
                </c:pt>
                <c:pt idx="75">
                  <c:v>1.8247936061199694E-2</c:v>
                </c:pt>
                <c:pt idx="76">
                  <c:v>0.24956720105106292</c:v>
                </c:pt>
                <c:pt idx="77">
                  <c:v>0.11295636683058646</c:v>
                </c:pt>
                <c:pt idx="78">
                  <c:v>9.5878896167861355E-2</c:v>
                </c:pt>
                <c:pt idx="79">
                  <c:v>0.18164214943509699</c:v>
                </c:pt>
                <c:pt idx="80">
                  <c:v>0.16591336580349803</c:v>
                </c:pt>
                <c:pt idx="81">
                  <c:v>0.16909079497728571</c:v>
                </c:pt>
                <c:pt idx="82">
                  <c:v>0.11040330252774325</c:v>
                </c:pt>
                <c:pt idx="83">
                  <c:v>0.15371890226094506</c:v>
                </c:pt>
                <c:pt idx="84">
                  <c:v>0.13236484175791532</c:v>
                </c:pt>
                <c:pt idx="85">
                  <c:v>3.0968163443478126E-2</c:v>
                </c:pt>
                <c:pt idx="86">
                  <c:v>0.18503733096986516</c:v>
                </c:pt>
                <c:pt idx="87">
                  <c:v>0.14231081736515136</c:v>
                </c:pt>
                <c:pt idx="88">
                  <c:v>0.23068740699636558</c:v>
                </c:pt>
                <c:pt idx="89">
                  <c:v>1.958142472025582E-8</c:v>
                </c:pt>
                <c:pt idx="90">
                  <c:v>8.1365715714596096E-2</c:v>
                </c:pt>
                <c:pt idx="91">
                  <c:v>0</c:v>
                </c:pt>
                <c:pt idx="92">
                  <c:v>0.26805363124268344</c:v>
                </c:pt>
                <c:pt idx="93">
                  <c:v>4.1594532281059172E-2</c:v>
                </c:pt>
                <c:pt idx="94">
                  <c:v>0.11466605728259809</c:v>
                </c:pt>
                <c:pt idx="95">
                  <c:v>1.5206595450027572E-2</c:v>
                </c:pt>
                <c:pt idx="96">
                  <c:v>0.19676019550138849</c:v>
                </c:pt>
                <c:pt idx="97">
                  <c:v>0.22775727879601632</c:v>
                </c:pt>
                <c:pt idx="98">
                  <c:v>0.16926883307195642</c:v>
                </c:pt>
                <c:pt idx="99">
                  <c:v>3.5063170013624703E-2</c:v>
                </c:pt>
                <c:pt idx="100">
                  <c:v>0.13094573576907209</c:v>
                </c:pt>
                <c:pt idx="101">
                  <c:v>0.47557634242390062</c:v>
                </c:pt>
                <c:pt idx="102">
                  <c:v>0.27255757660008645</c:v>
                </c:pt>
                <c:pt idx="103">
                  <c:v>6.9904101424655557E-2</c:v>
                </c:pt>
                <c:pt idx="104">
                  <c:v>1.0101523208755417E-2</c:v>
                </c:pt>
                <c:pt idx="105">
                  <c:v>0.1031197598845858</c:v>
                </c:pt>
                <c:pt idx="106">
                  <c:v>2.5481326090935997E-2</c:v>
                </c:pt>
                <c:pt idx="107">
                  <c:v>1.7141995278111235E-8</c:v>
                </c:pt>
                <c:pt idx="108">
                  <c:v>2.693740170115215E-2</c:v>
                </c:pt>
                <c:pt idx="109">
                  <c:v>7.8172622931479002E-2</c:v>
                </c:pt>
                <c:pt idx="110">
                  <c:v>0.21041935145896196</c:v>
                </c:pt>
                <c:pt idx="111">
                  <c:v>0.12937602096608825</c:v>
                </c:pt>
                <c:pt idx="112">
                  <c:v>4.761666437128817E-3</c:v>
                </c:pt>
                <c:pt idx="113">
                  <c:v>0.42178316735502475</c:v>
                </c:pt>
                <c:pt idx="114">
                  <c:v>0.2277572872707043</c:v>
                </c:pt>
                <c:pt idx="115">
                  <c:v>0.38074992003714869</c:v>
                </c:pt>
                <c:pt idx="116">
                  <c:v>0.21179049349981455</c:v>
                </c:pt>
                <c:pt idx="117">
                  <c:v>0.6349533635046446</c:v>
                </c:pt>
                <c:pt idx="118">
                  <c:v>0.1607061650871415</c:v>
                </c:pt>
                <c:pt idx="119">
                  <c:v>0.19848615258278929</c:v>
                </c:pt>
                <c:pt idx="120">
                  <c:v>6.3703333064272241E-2</c:v>
                </c:pt>
                <c:pt idx="121">
                  <c:v>0</c:v>
                </c:pt>
                <c:pt idx="122">
                  <c:v>0.12357213663941281</c:v>
                </c:pt>
                <c:pt idx="123">
                  <c:v>3.9598041954296885E-2</c:v>
                </c:pt>
                <c:pt idx="124">
                  <c:v>0.16802547422629055</c:v>
                </c:pt>
                <c:pt idx="125">
                  <c:v>7.3246233399521354E-2</c:v>
                </c:pt>
                <c:pt idx="126">
                  <c:v>0.16736261197473465</c:v>
                </c:pt>
                <c:pt idx="127">
                  <c:v>7.0475853625094856E-2</c:v>
                </c:pt>
                <c:pt idx="128">
                  <c:v>8.9995530619089742E-2</c:v>
                </c:pt>
                <c:pt idx="129">
                  <c:v>0.21757138620897154</c:v>
                </c:pt>
                <c:pt idx="130">
                  <c:v>0.15531837601819412</c:v>
                </c:pt>
                <c:pt idx="131">
                  <c:v>0.17894138698672768</c:v>
                </c:pt>
                <c:pt idx="132">
                  <c:v>0.11164854896311667</c:v>
                </c:pt>
                <c:pt idx="133">
                  <c:v>6.5777459008420427E-2</c:v>
                </c:pt>
                <c:pt idx="134">
                  <c:v>0.14993101325848107</c:v>
                </c:pt>
                <c:pt idx="135">
                  <c:v>1.6638000945639463E-2</c:v>
                </c:pt>
                <c:pt idx="136">
                  <c:v>0.12175356560343806</c:v>
                </c:pt>
                <c:pt idx="137">
                  <c:v>0.15044810816641277</c:v>
                </c:pt>
                <c:pt idx="138">
                  <c:v>0.23141627466305362</c:v>
                </c:pt>
                <c:pt idx="139">
                  <c:v>4.314536947313502E-2</c:v>
                </c:pt>
                <c:pt idx="140">
                  <c:v>0.23163849273232162</c:v>
                </c:pt>
                <c:pt idx="141">
                  <c:v>7.2693286661608195E-2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BB-9D4F-880E-F1AED5373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562448"/>
        <c:axId val="1998564448"/>
      </c:scatterChart>
      <c:valAx>
        <c:axId val="1998562448"/>
        <c:scaling>
          <c:orientation val="minMax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8564448"/>
        <c:crosses val="autoZero"/>
        <c:crossBetween val="midCat"/>
      </c:valAx>
      <c:valAx>
        <c:axId val="19985644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856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signal vs error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all!$M$3:$M$166</c:f>
              <c:numCache>
                <c:formatCode>0.00_);[Red]\(0.00\)</c:formatCode>
                <c:ptCount val="164"/>
                <c:pt idx="0">
                  <c:v>952.07636818449555</c:v>
                </c:pt>
                <c:pt idx="1">
                  <c:v>822.24776871294671</c:v>
                </c:pt>
                <c:pt idx="2">
                  <c:v>494.97150754508368</c:v>
                </c:pt>
                <c:pt idx="3">
                  <c:v>1652.6098528330613</c:v>
                </c:pt>
                <c:pt idx="4">
                  <c:v>605.86676959369856</c:v>
                </c:pt>
                <c:pt idx="5">
                  <c:v>730.28584408726636</c:v>
                </c:pt>
                <c:pt idx="6">
                  <c:v>1000.7620929863265</c:v>
                </c:pt>
                <c:pt idx="7">
                  <c:v>919.61921831660834</c:v>
                </c:pt>
                <c:pt idx="8">
                  <c:v>681.60011928543531</c:v>
                </c:pt>
                <c:pt idx="9">
                  <c:v>789.7906188450595</c:v>
                </c:pt>
                <c:pt idx="10">
                  <c:v>735.69536906524741</c:v>
                </c:pt>
                <c:pt idx="11">
                  <c:v>906.09540587165532</c:v>
                </c:pt>
                <c:pt idx="12">
                  <c:v>943.9620807175238</c:v>
                </c:pt>
                <c:pt idx="13">
                  <c:v>846.59063111386217</c:v>
                </c:pt>
                <c:pt idx="14">
                  <c:v>808.72395626799369</c:v>
                </c:pt>
                <c:pt idx="15">
                  <c:v>716.7620316423131</c:v>
                </c:pt>
                <c:pt idx="16">
                  <c:v>1176.5716547707157</c:v>
                </c:pt>
                <c:pt idx="17">
                  <c:v>405.71434540839391</c:v>
                </c:pt>
                <c:pt idx="18">
                  <c:v>787.08585635606869</c:v>
                </c:pt>
                <c:pt idx="19">
                  <c:v>935.84779325055183</c:v>
                </c:pt>
                <c:pt idx="20">
                  <c:v>613.98105706067031</c:v>
                </c:pt>
                <c:pt idx="21">
                  <c:v>943.9620807175238</c:v>
                </c:pt>
                <c:pt idx="22">
                  <c:v>1008.8763804532985</c:v>
                </c:pt>
                <c:pt idx="23">
                  <c:v>1114.3621175239318</c:v>
                </c:pt>
                <c:pt idx="24">
                  <c:v>56.799984328606158</c:v>
                </c:pt>
                <c:pt idx="25">
                  <c:v>795.20014382304043</c:v>
                </c:pt>
                <c:pt idx="26">
                  <c:v>446.28578274325287</c:v>
                </c:pt>
                <c:pt idx="27">
                  <c:v>705.94298168635078</c:v>
                </c:pt>
                <c:pt idx="28">
                  <c:v>659.96201937351043</c:v>
                </c:pt>
                <c:pt idx="29">
                  <c:v>781.67633137808753</c:v>
                </c:pt>
                <c:pt idx="31">
                  <c:v>210.97173542132344</c:v>
                </c:pt>
                <c:pt idx="32">
                  <c:v>843.88615784512456</c:v>
                </c:pt>
                <c:pt idx="33">
                  <c:v>981.82904478364537</c:v>
                </c:pt>
                <c:pt idx="34">
                  <c:v>787.08614557632166</c:v>
                </c:pt>
                <c:pt idx="35">
                  <c:v>797.9051955322841</c:v>
                </c:pt>
                <c:pt idx="36">
                  <c:v>954.78141989373921</c:v>
                </c:pt>
                <c:pt idx="37">
                  <c:v>984.53380727263561</c:v>
                </c:pt>
                <c:pt idx="38">
                  <c:v>738.40042077449107</c:v>
                </c:pt>
                <c:pt idx="39">
                  <c:v>925.02903251484247</c:v>
                </c:pt>
                <c:pt idx="40">
                  <c:v>995.35285722859817</c:v>
                </c:pt>
                <c:pt idx="41">
                  <c:v>463.42353412189942</c:v>
                </c:pt>
                <c:pt idx="42">
                  <c:v>685.62316146922137</c:v>
                </c:pt>
                <c:pt idx="43">
                  <c:v>389.96633934247711</c:v>
                </c:pt>
                <c:pt idx="44">
                  <c:v>528.32808169438204</c:v>
                </c:pt>
                <c:pt idx="45">
                  <c:v>546.68994234841489</c:v>
                </c:pt>
                <c:pt idx="46">
                  <c:v>426.69006065054225</c:v>
                </c:pt>
                <c:pt idx="47">
                  <c:v>702.06604019150325</c:v>
                </c:pt>
                <c:pt idx="48">
                  <c:v>474.30426651068279</c:v>
                </c:pt>
                <c:pt idx="49">
                  <c:v>746.76117977431477</c:v>
                </c:pt>
                <c:pt idx="50">
                  <c:v>306.83304814489532</c:v>
                </c:pt>
                <c:pt idx="51">
                  <c:v>229.09927156357168</c:v>
                </c:pt>
                <c:pt idx="52">
                  <c:v>81.632909562408898</c:v>
                </c:pt>
                <c:pt idx="53">
                  <c:v>579.33188131633324</c:v>
                </c:pt>
                <c:pt idx="54">
                  <c:v>442.39883088668205</c:v>
                </c:pt>
                <c:pt idx="55">
                  <c:v>310.73243624278666</c:v>
                </c:pt>
                <c:pt idx="56">
                  <c:v>394.99892881487978</c:v>
                </c:pt>
                <c:pt idx="57">
                  <c:v>450.29881456531587</c:v>
                </c:pt>
                <c:pt idx="58">
                  <c:v>729.43157121037393</c:v>
                </c:pt>
                <c:pt idx="59">
                  <c:v>684.6649970314495</c:v>
                </c:pt>
                <c:pt idx="60">
                  <c:v>1082.2975088560133</c:v>
                </c:pt>
                <c:pt idx="62">
                  <c:v>248.83794926747322</c:v>
                </c:pt>
                <c:pt idx="63">
                  <c:v>10.818850236300216</c:v>
                </c:pt>
                <c:pt idx="64">
                  <c:v>448.99037345277782</c:v>
                </c:pt>
                <c:pt idx="65">
                  <c:v>1060.266695964654</c:v>
                </c:pt>
                <c:pt idx="66">
                  <c:v>316.45701149223828</c:v>
                </c:pt>
                <c:pt idx="67">
                  <c:v>413.82846109590014</c:v>
                </c:pt>
                <c:pt idx="68">
                  <c:v>605.86659781423282</c:v>
                </c:pt>
                <c:pt idx="69">
                  <c:v>321.8665364702195</c:v>
                </c:pt>
                <c:pt idx="70">
                  <c:v>549.06658554543014</c:v>
                </c:pt>
                <c:pt idx="71">
                  <c:v>619.39041025918573</c:v>
                </c:pt>
                <c:pt idx="72">
                  <c:v>724.8761473298191</c:v>
                </c:pt>
                <c:pt idx="73">
                  <c:v>273.18081166838863</c:v>
                </c:pt>
                <c:pt idx="74">
                  <c:v>516.60943567754293</c:v>
                </c:pt>
                <c:pt idx="75">
                  <c:v>838.47617186742457</c:v>
                </c:pt>
                <c:pt idx="76">
                  <c:v>367.84749878305979</c:v>
                </c:pt>
                <c:pt idx="77">
                  <c:v>846.59045933439643</c:v>
                </c:pt>
                <c:pt idx="78">
                  <c:v>638.32374768212003</c:v>
                </c:pt>
                <c:pt idx="79">
                  <c:v>589.6380228802891</c:v>
                </c:pt>
                <c:pt idx="80">
                  <c:v>484.15228580965567</c:v>
                </c:pt>
                <c:pt idx="81">
                  <c:v>497.67609825460852</c:v>
                </c:pt>
                <c:pt idx="82">
                  <c:v>727.58090981880969</c:v>
                </c:pt>
                <c:pt idx="83">
                  <c:v>497.67609825460869</c:v>
                </c:pt>
                <c:pt idx="84">
                  <c:v>549.06658554543003</c:v>
                </c:pt>
                <c:pt idx="85">
                  <c:v>370.55226127205032</c:v>
                </c:pt>
                <c:pt idx="86">
                  <c:v>578.81897292432677</c:v>
                </c:pt>
                <c:pt idx="87">
                  <c:v>860.11427177934934</c:v>
                </c:pt>
                <c:pt idx="88">
                  <c:v>381.37131122801281</c:v>
                </c:pt>
                <c:pt idx="89">
                  <c:v>632.91422270413887</c:v>
                </c:pt>
                <c:pt idx="90">
                  <c:v>987.23810876190782</c:v>
                </c:pt>
                <c:pt idx="92">
                  <c:v>390.03157982215549</c:v>
                </c:pt>
                <c:pt idx="93">
                  <c:v>520.04214891665492</c:v>
                </c:pt>
                <c:pt idx="94">
                  <c:v>188.64265906793125</c:v>
                </c:pt>
                <c:pt idx="95">
                  <c:v>474.15606570683173</c:v>
                </c:pt>
                <c:pt idx="96">
                  <c:v>586.32204688639968</c:v>
                </c:pt>
                <c:pt idx="97">
                  <c:v>680.64344015103654</c:v>
                </c:pt>
                <c:pt idx="98">
                  <c:v>660.24962539111505</c:v>
                </c:pt>
                <c:pt idx="99">
                  <c:v>308.45632078246956</c:v>
                </c:pt>
                <c:pt idx="100">
                  <c:v>550.63287105653694</c:v>
                </c:pt>
                <c:pt idx="101">
                  <c:v>576.12513950643893</c:v>
                </c:pt>
                <c:pt idx="102">
                  <c:v>701.03725491095793</c:v>
                </c:pt>
                <c:pt idx="103">
                  <c:v>670.44653277107557</c:v>
                </c:pt>
                <c:pt idx="104">
                  <c:v>713.78338913590881</c:v>
                </c:pt>
                <c:pt idx="105">
                  <c:v>489.45142677677279</c:v>
                </c:pt>
                <c:pt idx="106">
                  <c:v>565.92823212647841</c:v>
                </c:pt>
                <c:pt idx="107">
                  <c:v>168.24884430800972</c:v>
                </c:pt>
                <c:pt idx="108">
                  <c:v>1070.6751474345342</c:v>
                </c:pt>
                <c:pt idx="109">
                  <c:v>507.29601469170399</c:v>
                </c:pt>
                <c:pt idx="110">
                  <c:v>736.72643074082032</c:v>
                </c:pt>
                <c:pt idx="111">
                  <c:v>808.10478240054567</c:v>
                </c:pt>
                <c:pt idx="112">
                  <c:v>757.12024550074193</c:v>
                </c:pt>
                <c:pt idx="113">
                  <c:v>290.61173286753848</c:v>
                </c:pt>
                <c:pt idx="114">
                  <c:v>680.64344015103643</c:v>
                </c:pt>
                <c:pt idx="115">
                  <c:v>397.67926035712605</c:v>
                </c:pt>
                <c:pt idx="116">
                  <c:v>527.6898294516252</c:v>
                </c:pt>
                <c:pt idx="117">
                  <c:v>249.82410334769557</c:v>
                </c:pt>
                <c:pt idx="118">
                  <c:v>224.33183489779375</c:v>
                </c:pt>
                <c:pt idx="119">
                  <c:v>581.2235931964193</c:v>
                </c:pt>
                <c:pt idx="120">
                  <c:v>565.92823212647818</c:v>
                </c:pt>
                <c:pt idx="122">
                  <c:v>820.27911024428772</c:v>
                </c:pt>
                <c:pt idx="123">
                  <c:v>1327.3123380430347</c:v>
                </c:pt>
                <c:pt idx="124">
                  <c:v>536.23431770781701</c:v>
                </c:pt>
                <c:pt idx="125">
                  <c:v>666.3109049441448</c:v>
                </c:pt>
                <c:pt idx="126">
                  <c:v>897.26321289435953</c:v>
                </c:pt>
                <c:pt idx="127">
                  <c:v>799.04211640978519</c:v>
                </c:pt>
                <c:pt idx="128">
                  <c:v>584.01755383544742</c:v>
                </c:pt>
                <c:pt idx="129">
                  <c:v>621.18229304582701</c:v>
                </c:pt>
                <c:pt idx="130">
                  <c:v>459.25021505774527</c:v>
                </c:pt>
                <c:pt idx="131">
                  <c:v>650.38315956826784</c:v>
                </c:pt>
                <c:pt idx="132">
                  <c:v>605.25454766995006</c:v>
                </c:pt>
                <c:pt idx="133">
                  <c:v>913.19095827023625</c:v>
                </c:pt>
                <c:pt idx="134">
                  <c:v>926.46407941680013</c:v>
                </c:pt>
                <c:pt idx="135">
                  <c:v>451.2863423698069</c:v>
                </c:pt>
                <c:pt idx="136">
                  <c:v>801.69674063909804</c:v>
                </c:pt>
                <c:pt idx="137">
                  <c:v>873.37159483054415</c:v>
                </c:pt>
                <c:pt idx="138">
                  <c:v>292.00888861103817</c:v>
                </c:pt>
                <c:pt idx="139">
                  <c:v>783.11437103390836</c:v>
                </c:pt>
                <c:pt idx="140">
                  <c:v>615.87304458720132</c:v>
                </c:pt>
                <c:pt idx="141">
                  <c:v>1136.1793935325127</c:v>
                </c:pt>
                <c:pt idx="143" formatCode="General">
                  <c:v>1294.5777129340379</c:v>
                </c:pt>
                <c:pt idx="144" formatCode="General">
                  <c:v>1033.6932308598775</c:v>
                </c:pt>
                <c:pt idx="145" formatCode="General">
                  <c:v>-29.534092310282237</c:v>
                </c:pt>
                <c:pt idx="146" formatCode="General">
                  <c:v>841.72163084304327</c:v>
                </c:pt>
                <c:pt idx="147" formatCode="General">
                  <c:v>930.32390777388991</c:v>
                </c:pt>
                <c:pt idx="148" formatCode="General">
                  <c:v>1063.2273231701599</c:v>
                </c:pt>
                <c:pt idx="149" formatCode="General">
                  <c:v>-44.301138465423342</c:v>
                </c:pt>
                <c:pt idx="150" formatCode="General">
                  <c:v>-49.223487183803719</c:v>
                </c:pt>
                <c:pt idx="151" formatCode="General">
                  <c:v>1983.7065335072884</c:v>
                </c:pt>
                <c:pt idx="152" formatCode="General">
                  <c:v>1412.7140821751664</c:v>
                </c:pt>
                <c:pt idx="153" formatCode="General">
                  <c:v>905.7121641819881</c:v>
                </c:pt>
                <c:pt idx="154" formatCode="General">
                  <c:v>1565.3068924449581</c:v>
                </c:pt>
                <c:pt idx="155" formatCode="General">
                  <c:v>19.689394873521483</c:v>
                </c:pt>
                <c:pt idx="156" formatCode="General">
                  <c:v>-4.9223487183803707</c:v>
                </c:pt>
                <c:pt idx="157" formatCode="General">
                  <c:v>-24.61174359190186</c:v>
                </c:pt>
                <c:pt idx="158" formatCode="General">
                  <c:v>1112.4508103539636</c:v>
                </c:pt>
                <c:pt idx="159" formatCode="General">
                  <c:v>1368.4129437097429</c:v>
                </c:pt>
                <c:pt idx="160" formatCode="General">
                  <c:v>1245.3542257502334</c:v>
                </c:pt>
                <c:pt idx="161" formatCode="General">
                  <c:v>-24.61174359190186</c:v>
                </c:pt>
                <c:pt idx="162" formatCode="General">
                  <c:v>152.59281026979153</c:v>
                </c:pt>
                <c:pt idx="163" formatCode="General">
                  <c:v>-39.378789747042966</c:v>
                </c:pt>
              </c:numCache>
            </c:numRef>
          </c:xVal>
          <c:yVal>
            <c:numRef>
              <c:f>all!$N$3:$N$166</c:f>
              <c:numCache>
                <c:formatCode>0.00_);[Red]\(0.00\)</c:formatCode>
                <c:ptCount val="164"/>
                <c:pt idx="0">
                  <c:v>61.201533392643846</c:v>
                </c:pt>
                <c:pt idx="1">
                  <c:v>15.300191853501721</c:v>
                </c:pt>
                <c:pt idx="2">
                  <c:v>19.12581430085481</c:v>
                </c:pt>
                <c:pt idx="3">
                  <c:v>49.726198007858692</c:v>
                </c:pt>
                <c:pt idx="4">
                  <c:v>38.25137327549762</c:v>
                </c:pt>
                <c:pt idx="5">
                  <c:v>61.202044045068483</c:v>
                </c:pt>
                <c:pt idx="6">
                  <c:v>99.452651341929467</c:v>
                </c:pt>
                <c:pt idx="7">
                  <c:v>130.05354570135748</c:v>
                </c:pt>
                <c:pt idx="8">
                  <c:v>252.45712313907018</c:v>
                </c:pt>
                <c:pt idx="9">
                  <c:v>30.601149685640564</c:v>
                </c:pt>
                <c:pt idx="10">
                  <c:v>7.6504789160689786</c:v>
                </c:pt>
                <c:pt idx="11">
                  <c:v>42.076485070426031</c:v>
                </c:pt>
                <c:pt idx="12">
                  <c:v>42.076485070425953</c:v>
                </c:pt>
                <c:pt idx="13">
                  <c:v>42.076485070426116</c:v>
                </c:pt>
                <c:pt idx="14">
                  <c:v>3.825367121140971</c:v>
                </c:pt>
                <c:pt idx="15">
                  <c:v>11.475080058573472</c:v>
                </c:pt>
                <c:pt idx="16">
                  <c:v>26.776037890711752</c:v>
                </c:pt>
                <c:pt idx="17">
                  <c:v>76.502491224782489</c:v>
                </c:pt>
                <c:pt idx="18">
                  <c:v>49.726708660283094</c:v>
                </c:pt>
                <c:pt idx="19">
                  <c:v>2.5532621240033121E-4</c:v>
                </c:pt>
                <c:pt idx="20">
                  <c:v>19.125303648430371</c:v>
                </c:pt>
                <c:pt idx="21">
                  <c:v>26.77603789071199</c:v>
                </c:pt>
                <c:pt idx="22">
                  <c:v>218.03111698471307</c:v>
                </c:pt>
                <c:pt idx="23">
                  <c:v>145.35399288107118</c:v>
                </c:pt>
                <c:pt idx="24">
                  <c:v>34.425750828144352</c:v>
                </c:pt>
                <c:pt idx="25">
                  <c:v>15.30070250592636</c:v>
                </c:pt>
                <c:pt idx="26">
                  <c:v>11.475590710997832</c:v>
                </c:pt>
                <c:pt idx="27">
                  <c:v>225.68134057457021</c:v>
                </c:pt>
                <c:pt idx="28">
                  <c:v>130.05405635378301</c:v>
                </c:pt>
                <c:pt idx="29">
                  <c:v>57.376421597715677</c:v>
                </c:pt>
                <c:pt idx="31">
                  <c:v>91.802683078284574</c:v>
                </c:pt>
                <c:pt idx="32">
                  <c:v>15.300447179713961</c:v>
                </c:pt>
                <c:pt idx="33">
                  <c:v>57.376676923927832</c:v>
                </c:pt>
                <c:pt idx="34">
                  <c:v>3.8251117949286506</c:v>
                </c:pt>
                <c:pt idx="35">
                  <c:v>72.677124103642043</c:v>
                </c:pt>
                <c:pt idx="36">
                  <c:v>42.076229744213791</c:v>
                </c:pt>
                <c:pt idx="37">
                  <c:v>206.55603692614011</c:v>
                </c:pt>
                <c:pt idx="38">
                  <c:v>103.27801846306987</c:v>
                </c:pt>
                <c:pt idx="39">
                  <c:v>30.600894359428082</c:v>
                </c:pt>
                <c:pt idx="40">
                  <c:v>160.65469538699696</c:v>
                </c:pt>
                <c:pt idx="41">
                  <c:v>186.14511731201264</c:v>
                </c:pt>
                <c:pt idx="42">
                  <c:v>20.989478978819022</c:v>
                </c:pt>
                <c:pt idx="43">
                  <c:v>37.571899957671484</c:v>
                </c:pt>
                <c:pt idx="44">
                  <c:v>5.0966807928236264</c:v>
                </c:pt>
                <c:pt idx="45">
                  <c:v>38.714496750018455</c:v>
                </c:pt>
                <c:pt idx="46">
                  <c:v>29.663731956718173</c:v>
                </c:pt>
                <c:pt idx="47">
                  <c:v>24.608791236387585</c:v>
                </c:pt>
                <c:pt idx="48">
                  <c:v>74.049716876182174</c:v>
                </c:pt>
                <c:pt idx="49">
                  <c:v>46.249904923640564</c:v>
                </c:pt>
                <c:pt idx="50">
                  <c:v>5.5145675329941284</c:v>
                </c:pt>
                <c:pt idx="51">
                  <c:v>48.413144263683186</c:v>
                </c:pt>
                <c:pt idx="52">
                  <c:v>26.068616141982972</c:v>
                </c:pt>
                <c:pt idx="53">
                  <c:v>52.137232283966256</c:v>
                </c:pt>
                <c:pt idx="54">
                  <c:v>119.17081664906574</c:v>
                </c:pt>
                <c:pt idx="55">
                  <c:v>44.689056243400138</c:v>
                </c:pt>
                <c:pt idx="56">
                  <c:v>96.826288527365776</c:v>
                </c:pt>
                <c:pt idx="57">
                  <c:v>48.413144263682959</c:v>
                </c:pt>
                <c:pt idx="58">
                  <c:v>33.516792182549793</c:v>
                </c:pt>
                <c:pt idx="59">
                  <c:v>37.240880202833004</c:v>
                </c:pt>
                <c:pt idx="60">
                  <c:v>70.757672385382719</c:v>
                </c:pt>
                <c:pt idx="62">
                  <c:v>130.05378863420745</c:v>
                </c:pt>
                <c:pt idx="63">
                  <c:v>7.6502111964947614</c:v>
                </c:pt>
                <c:pt idx="64">
                  <c:v>30.600906752790451</c:v>
                </c:pt>
                <c:pt idx="65">
                  <c:v>84.152447095065625</c:v>
                </c:pt>
                <c:pt idx="66">
                  <c:v>95.627782479850637</c:v>
                </c:pt>
                <c:pt idx="67">
                  <c:v>42.076217350851543</c:v>
                </c:pt>
                <c:pt idx="68">
                  <c:v>1.2393362125871588E-5</c:v>
                </c:pt>
                <c:pt idx="69">
                  <c:v>11.475322991423344</c:v>
                </c:pt>
                <c:pt idx="70">
                  <c:v>3.8251241882906966</c:v>
                </c:pt>
                <c:pt idx="71">
                  <c:v>3.8250994015662036</c:v>
                </c:pt>
                <c:pt idx="72">
                  <c:v>53.551552735637138</c:v>
                </c:pt>
                <c:pt idx="73">
                  <c:v>34.425993760994608</c:v>
                </c:pt>
                <c:pt idx="74">
                  <c:v>133.8789004291358</c:v>
                </c:pt>
                <c:pt idx="75">
                  <c:v>15.300459573076248</c:v>
                </c:pt>
                <c:pt idx="76">
                  <c:v>91.802670684922504</c:v>
                </c:pt>
                <c:pt idx="77">
                  <c:v>95.627782479850779</c:v>
                </c:pt>
                <c:pt idx="78">
                  <c:v>61.201776325494116</c:v>
                </c:pt>
                <c:pt idx="79">
                  <c:v>107.10311786463662</c:v>
                </c:pt>
                <c:pt idx="80">
                  <c:v>80.327335300137122</c:v>
                </c:pt>
                <c:pt idx="81">
                  <c:v>84.152447095065511</c:v>
                </c:pt>
                <c:pt idx="82">
                  <c:v>80.327335300136724</c:v>
                </c:pt>
                <c:pt idx="83">
                  <c:v>76.50222350520869</c:v>
                </c:pt>
                <c:pt idx="84">
                  <c:v>72.677111710279718</c:v>
                </c:pt>
                <c:pt idx="85">
                  <c:v>11.475322991423264</c:v>
                </c:pt>
                <c:pt idx="86">
                  <c:v>107.10311786463608</c:v>
                </c:pt>
                <c:pt idx="87">
                  <c:v>122.40356504435114</c:v>
                </c:pt>
                <c:pt idx="88">
                  <c:v>87.977558889994199</c:v>
                </c:pt>
                <c:pt idx="89">
                  <c:v>1.2393362206260322E-5</c:v>
                </c:pt>
                <c:pt idx="90">
                  <c:v>80.327335300136895</c:v>
                </c:pt>
                <c:pt idx="92">
                  <c:v>104.54938127064932</c:v>
                </c:pt>
                <c:pt idx="93">
                  <c:v>21.630909950625185</c:v>
                </c:pt>
                <c:pt idx="94">
                  <c:v>21.630909950625025</c:v>
                </c:pt>
                <c:pt idx="95">
                  <c:v>7.2102994713804822</c:v>
                </c:pt>
                <c:pt idx="96">
                  <c:v>115.36484057214227</c:v>
                </c:pt>
                <c:pt idx="97">
                  <c:v>155.02149775915927</c:v>
                </c:pt>
                <c:pt idx="98">
                  <c:v>111.75968362615042</c:v>
                </c:pt>
                <c:pt idx="99">
                  <c:v>10.815456417372889</c:v>
                </c:pt>
                <c:pt idx="100">
                  <c:v>72.103026439134837</c:v>
                </c:pt>
                <c:pt idx="101">
                  <c:v>273.99148662493172</c:v>
                </c:pt>
                <c:pt idx="102">
                  <c:v>191.07301530490773</c:v>
                </c:pt>
                <c:pt idx="103">
                  <c:v>46.866962426637919</c:v>
                </c:pt>
                <c:pt idx="104">
                  <c:v>7.2102994713804822</c:v>
                </c:pt>
                <c:pt idx="105">
                  <c:v>50.472113604388738</c:v>
                </c:pt>
                <c:pt idx="106">
                  <c:v>14.420601826881718</c:v>
                </c:pt>
                <c:pt idx="107">
                  <c:v>2.8841208946755751E-6</c:v>
                </c:pt>
                <c:pt idx="108">
                  <c:v>28.84120653788435</c:v>
                </c:pt>
                <c:pt idx="109">
                  <c:v>39.656660071136606</c:v>
                </c:pt>
                <c:pt idx="110">
                  <c:v>155.02149775915927</c:v>
                </c:pt>
                <c:pt idx="111">
                  <c:v>104.54938127064918</c:v>
                </c:pt>
                <c:pt idx="112">
                  <c:v>3.6051540618716134</c:v>
                </c:pt>
                <c:pt idx="113">
                  <c:v>122.57513715940273</c:v>
                </c:pt>
                <c:pt idx="114">
                  <c:v>155.02150352740003</c:v>
                </c:pt>
                <c:pt idx="115">
                  <c:v>151.41634658140819</c:v>
                </c:pt>
                <c:pt idx="116">
                  <c:v>111.75968939439268</c:v>
                </c:pt>
                <c:pt idx="117">
                  <c:v>158.62665470515125</c:v>
                </c:pt>
                <c:pt idx="118">
                  <c:v>36.051508893386213</c:v>
                </c:pt>
                <c:pt idx="119">
                  <c:v>115.36483480390153</c:v>
                </c:pt>
                <c:pt idx="120">
                  <c:v>36.051514661627813</c:v>
                </c:pt>
                <c:pt idx="122">
                  <c:v>101.36364229356309</c:v>
                </c:pt>
                <c:pt idx="123">
                  <c:v>52.558969648283977</c:v>
                </c:pt>
                <c:pt idx="124">
                  <c:v>90.101025529267304</c:v>
                </c:pt>
                <c:pt idx="125">
                  <c:v>48.804764060185121</c:v>
                </c:pt>
                <c:pt idx="126">
                  <c:v>150.16831493884243</c:v>
                </c:pt>
                <c:pt idx="127">
                  <c:v>56.313175236382023</c:v>
                </c:pt>
                <c:pt idx="128">
                  <c:v>52.558969648283899</c:v>
                </c:pt>
                <c:pt idx="129">
                  <c:v>135.15149258644817</c:v>
                </c:pt>
                <c:pt idx="130">
                  <c:v>71.329997588775399</c:v>
                </c:pt>
                <c:pt idx="131">
                  <c:v>116.38046464595608</c:v>
                </c:pt>
                <c:pt idx="132">
                  <c:v>67.575792000677453</c:v>
                </c:pt>
                <c:pt idx="133">
                  <c:v>60.067380824480637</c:v>
                </c:pt>
                <c:pt idx="134">
                  <c:v>138.90569817454673</c:v>
                </c:pt>
                <c:pt idx="135">
                  <c:v>7.5085025911030217</c:v>
                </c:pt>
                <c:pt idx="136">
                  <c:v>97.609436705464887</c:v>
                </c:pt>
                <c:pt idx="137">
                  <c:v>131.39710416853814</c:v>
                </c:pt>
                <c:pt idx="138">
                  <c:v>67.575609170865036</c:v>
                </c:pt>
                <c:pt idx="139">
                  <c:v>33.787758877979719</c:v>
                </c:pt>
                <c:pt idx="140">
                  <c:v>142.65990376264523</c:v>
                </c:pt>
                <c:pt idx="141">
                  <c:v>82.592614353071085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CC-8946-8844-8F068F0F7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418303"/>
        <c:axId val="2090361935"/>
      </c:scatterChart>
      <c:valAx>
        <c:axId val="2090418303"/>
        <c:scaling>
          <c:orientation val="minMax"/>
        </c:scaling>
        <c:delete val="0"/>
        <c:axPos val="b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0361935"/>
        <c:crosses val="autoZero"/>
        <c:crossBetween val="midCat"/>
      </c:valAx>
      <c:valAx>
        <c:axId val="2090361935"/>
        <c:scaling>
          <c:orientation val="minMax"/>
        </c:scaling>
        <c:delete val="0"/>
        <c:axPos val="l"/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0418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突变体体积酶活测定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6350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'1'!$C$35:$AF$35</c:f>
                <c:numCache>
                  <c:formatCode>General</c:formatCode>
                  <c:ptCount val="30"/>
                  <c:pt idx="1">
                    <c:v>61.201533392643846</c:v>
                  </c:pt>
                  <c:pt idx="2">
                    <c:v>15.300191853501721</c:v>
                  </c:pt>
                  <c:pt idx="3">
                    <c:v>19.12581430085481</c:v>
                  </c:pt>
                  <c:pt idx="4">
                    <c:v>49.726198007858692</c:v>
                  </c:pt>
                  <c:pt idx="5">
                    <c:v>38.25137327549762</c:v>
                  </c:pt>
                  <c:pt idx="6">
                    <c:v>61.202044045068483</c:v>
                  </c:pt>
                  <c:pt idx="7">
                    <c:v>99.452651341929467</c:v>
                  </c:pt>
                  <c:pt idx="8">
                    <c:v>130.05354570135748</c:v>
                  </c:pt>
                  <c:pt idx="9">
                    <c:v>252.45712313907018</c:v>
                  </c:pt>
                  <c:pt idx="10">
                    <c:v>30.601149685640564</c:v>
                  </c:pt>
                  <c:pt idx="11">
                    <c:v>7.6504789160689786</c:v>
                  </c:pt>
                  <c:pt idx="12">
                    <c:v>42.076485070426031</c:v>
                  </c:pt>
                  <c:pt idx="13">
                    <c:v>42.076485070425953</c:v>
                  </c:pt>
                  <c:pt idx="14">
                    <c:v>42.076485070426116</c:v>
                  </c:pt>
                  <c:pt idx="15">
                    <c:v>3.825367121140971</c:v>
                  </c:pt>
                  <c:pt idx="16">
                    <c:v>11.475080058573472</c:v>
                  </c:pt>
                  <c:pt idx="17">
                    <c:v>26.776037890711752</c:v>
                  </c:pt>
                  <c:pt idx="18">
                    <c:v>76.502491224782489</c:v>
                  </c:pt>
                  <c:pt idx="19">
                    <c:v>49.726708660283094</c:v>
                  </c:pt>
                  <c:pt idx="20">
                    <c:v>2.5532621240033121E-4</c:v>
                  </c:pt>
                  <c:pt idx="21">
                    <c:v>19.125303648430371</c:v>
                  </c:pt>
                  <c:pt idx="22">
                    <c:v>26.77603789071199</c:v>
                  </c:pt>
                  <c:pt idx="23">
                    <c:v>218.03111698471307</c:v>
                  </c:pt>
                  <c:pt idx="24">
                    <c:v>145.35399288107118</c:v>
                  </c:pt>
                  <c:pt idx="25">
                    <c:v>34.425750828144352</c:v>
                  </c:pt>
                  <c:pt idx="26">
                    <c:v>15.30070250592636</c:v>
                  </c:pt>
                  <c:pt idx="27">
                    <c:v>11.475590710997832</c:v>
                  </c:pt>
                  <c:pt idx="28">
                    <c:v>225.68134057457021</c:v>
                  </c:pt>
                  <c:pt idx="29">
                    <c:v>130.05405635378301</c:v>
                  </c:pt>
                </c:numCache>
              </c:numRef>
            </c:plus>
            <c:minus>
              <c:numRef>
                <c:f>'1'!$C$35:$AF$35</c:f>
                <c:numCache>
                  <c:formatCode>General</c:formatCode>
                  <c:ptCount val="30"/>
                  <c:pt idx="1">
                    <c:v>61.201533392643846</c:v>
                  </c:pt>
                  <c:pt idx="2">
                    <c:v>15.300191853501721</c:v>
                  </c:pt>
                  <c:pt idx="3">
                    <c:v>19.12581430085481</c:v>
                  </c:pt>
                  <c:pt idx="4">
                    <c:v>49.726198007858692</c:v>
                  </c:pt>
                  <c:pt idx="5">
                    <c:v>38.25137327549762</c:v>
                  </c:pt>
                  <c:pt idx="6">
                    <c:v>61.202044045068483</c:v>
                  </c:pt>
                  <c:pt idx="7">
                    <c:v>99.452651341929467</c:v>
                  </c:pt>
                  <c:pt idx="8">
                    <c:v>130.05354570135748</c:v>
                  </c:pt>
                  <c:pt idx="9">
                    <c:v>252.45712313907018</c:v>
                  </c:pt>
                  <c:pt idx="10">
                    <c:v>30.601149685640564</c:v>
                  </c:pt>
                  <c:pt idx="11">
                    <c:v>7.6504789160689786</c:v>
                  </c:pt>
                  <c:pt idx="12">
                    <c:v>42.076485070426031</c:v>
                  </c:pt>
                  <c:pt idx="13">
                    <c:v>42.076485070425953</c:v>
                  </c:pt>
                  <c:pt idx="14">
                    <c:v>42.076485070426116</c:v>
                  </c:pt>
                  <c:pt idx="15">
                    <c:v>3.825367121140971</c:v>
                  </c:pt>
                  <c:pt idx="16">
                    <c:v>11.475080058573472</c:v>
                  </c:pt>
                  <c:pt idx="17">
                    <c:v>26.776037890711752</c:v>
                  </c:pt>
                  <c:pt idx="18">
                    <c:v>76.502491224782489</c:v>
                  </c:pt>
                  <c:pt idx="19">
                    <c:v>49.726708660283094</c:v>
                  </c:pt>
                  <c:pt idx="20">
                    <c:v>2.5532621240033121E-4</c:v>
                  </c:pt>
                  <c:pt idx="21">
                    <c:v>19.125303648430371</c:v>
                  </c:pt>
                  <c:pt idx="22">
                    <c:v>26.77603789071199</c:v>
                  </c:pt>
                  <c:pt idx="23">
                    <c:v>218.03111698471307</c:v>
                  </c:pt>
                  <c:pt idx="24">
                    <c:v>145.35399288107118</c:v>
                  </c:pt>
                  <c:pt idx="25">
                    <c:v>34.425750828144352</c:v>
                  </c:pt>
                  <c:pt idx="26">
                    <c:v>15.30070250592636</c:v>
                  </c:pt>
                  <c:pt idx="27">
                    <c:v>11.475590710997832</c:v>
                  </c:pt>
                  <c:pt idx="28">
                    <c:v>225.68134057457021</c:v>
                  </c:pt>
                  <c:pt idx="29">
                    <c:v>130.05405635378301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'1'!$D$23:$AG$23</c:f>
              <c:strCache>
                <c:ptCount val="30"/>
                <c:pt idx="0">
                  <c:v>NT</c:v>
                </c:pt>
                <c:pt idx="1">
                  <c:v>EV</c:v>
                </c:pt>
                <c:pt idx="2">
                  <c:v>NL</c:v>
                </c:pt>
                <c:pt idx="3">
                  <c:v>EP</c:v>
                </c:pt>
                <c:pt idx="4">
                  <c:v>EL</c:v>
                </c:pt>
                <c:pt idx="5">
                  <c:v>EG</c:v>
                </c:pt>
                <c:pt idx="6">
                  <c:v>EY</c:v>
                </c:pt>
                <c:pt idx="7">
                  <c:v>EN</c:v>
                </c:pt>
                <c:pt idx="8">
                  <c:v>EF</c:v>
                </c:pt>
                <c:pt idx="9">
                  <c:v>NI</c:v>
                </c:pt>
                <c:pt idx="10">
                  <c:v>NA</c:v>
                </c:pt>
                <c:pt idx="11">
                  <c:v>ES</c:v>
                </c:pt>
                <c:pt idx="12">
                  <c:v>EQ</c:v>
                </c:pt>
                <c:pt idx="13">
                  <c:v>NS</c:v>
                </c:pt>
                <c:pt idx="14">
                  <c:v>NP</c:v>
                </c:pt>
                <c:pt idx="15">
                  <c:v>NM</c:v>
                </c:pt>
                <c:pt idx="16">
                  <c:v>QE</c:v>
                </c:pt>
                <c:pt idx="17">
                  <c:v>NR</c:v>
                </c:pt>
                <c:pt idx="18">
                  <c:v>ND</c:v>
                </c:pt>
                <c:pt idx="19">
                  <c:v>ED</c:v>
                </c:pt>
                <c:pt idx="20">
                  <c:v>NW</c:v>
                </c:pt>
                <c:pt idx="21">
                  <c:v>EA</c:v>
                </c:pt>
                <c:pt idx="22">
                  <c:v>ET</c:v>
                </c:pt>
                <c:pt idx="23">
                  <c:v>EH</c:v>
                </c:pt>
                <c:pt idx="24">
                  <c:v>EI</c:v>
                </c:pt>
                <c:pt idx="25">
                  <c:v>NQ</c:v>
                </c:pt>
                <c:pt idx="26">
                  <c:v>EK</c:v>
                </c:pt>
                <c:pt idx="27">
                  <c:v>EW</c:v>
                </c:pt>
                <c:pt idx="28">
                  <c:v>EM</c:v>
                </c:pt>
                <c:pt idx="29">
                  <c:v>EC</c:v>
                </c:pt>
              </c:strCache>
            </c:strRef>
          </c:cat>
          <c:val>
            <c:numRef>
              <c:f>'1'!$D$34:$AG$34</c:f>
              <c:numCache>
                <c:formatCode>0.00_);[Red]\(0.00\)</c:formatCode>
                <c:ptCount val="30"/>
                <c:pt idx="0">
                  <c:v>952.07636818449555</c:v>
                </c:pt>
                <c:pt idx="1">
                  <c:v>822.24776871294671</c:v>
                </c:pt>
                <c:pt idx="2">
                  <c:v>494.97150754508368</c:v>
                </c:pt>
                <c:pt idx="3">
                  <c:v>1652.6098528330613</c:v>
                </c:pt>
                <c:pt idx="4">
                  <c:v>605.86676959369856</c:v>
                </c:pt>
                <c:pt idx="5">
                  <c:v>730.28584408726636</c:v>
                </c:pt>
                <c:pt idx="6">
                  <c:v>1000.7620929863265</c:v>
                </c:pt>
                <c:pt idx="7">
                  <c:v>919.61921831660834</c:v>
                </c:pt>
                <c:pt idx="8">
                  <c:v>681.60011928543531</c:v>
                </c:pt>
                <c:pt idx="9">
                  <c:v>789.7906188450595</c:v>
                </c:pt>
                <c:pt idx="10">
                  <c:v>735.69536906524741</c:v>
                </c:pt>
                <c:pt idx="11">
                  <c:v>906.09540587165532</c:v>
                </c:pt>
                <c:pt idx="12">
                  <c:v>943.9620807175238</c:v>
                </c:pt>
                <c:pt idx="13">
                  <c:v>846.59063111386217</c:v>
                </c:pt>
                <c:pt idx="14">
                  <c:v>808.72395626799369</c:v>
                </c:pt>
                <c:pt idx="15">
                  <c:v>716.7620316423131</c:v>
                </c:pt>
                <c:pt idx="16">
                  <c:v>1176.5716547707157</c:v>
                </c:pt>
                <c:pt idx="17">
                  <c:v>405.71434540839391</c:v>
                </c:pt>
                <c:pt idx="18">
                  <c:v>787.08585635606869</c:v>
                </c:pt>
                <c:pt idx="19">
                  <c:v>935.84779325055183</c:v>
                </c:pt>
                <c:pt idx="20">
                  <c:v>613.98105706067031</c:v>
                </c:pt>
                <c:pt idx="21">
                  <c:v>943.9620807175238</c:v>
                </c:pt>
                <c:pt idx="22">
                  <c:v>1008.8763804532985</c:v>
                </c:pt>
                <c:pt idx="23">
                  <c:v>1114.3621175239318</c:v>
                </c:pt>
                <c:pt idx="24">
                  <c:v>56.799984328606158</c:v>
                </c:pt>
                <c:pt idx="25">
                  <c:v>795.20014382304043</c:v>
                </c:pt>
                <c:pt idx="26">
                  <c:v>446.28578274325287</c:v>
                </c:pt>
                <c:pt idx="27">
                  <c:v>705.94298168635078</c:v>
                </c:pt>
                <c:pt idx="28">
                  <c:v>659.96201937351043</c:v>
                </c:pt>
                <c:pt idx="29">
                  <c:v>781.67633137808753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B-4C65-BD05-F511EF012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870784"/>
        <c:axId val="1192841984"/>
      </c:barChart>
      <c:catAx>
        <c:axId val="119287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2841984"/>
        <c:crosses val="autoZero"/>
        <c:auto val="1"/>
        <c:lblAlgn val="ctr"/>
        <c:lblOffset val="100"/>
        <c:noMultiLvlLbl val="0"/>
      </c:catAx>
      <c:valAx>
        <c:axId val="11928419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6350"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体积酶活（</a:t>
                </a:r>
                <a:r>
                  <a:rPr lang="en-US" altLang="zh-CN"/>
                  <a:t>U/L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6350"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287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n w="6350">
            <a:solidFill>
              <a:schemeClr val="tx1"/>
            </a:solidFill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标曲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'1'!$D$2:$H$2</c:f>
              <c:numCache>
                <c:formatCode>General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0.05</c:v>
                </c:pt>
              </c:numCache>
            </c:numRef>
          </c:xVal>
          <c:yVal>
            <c:numRef>
              <c:f>'1'!$D$3:$H$3</c:f>
              <c:numCache>
                <c:formatCode>General</c:formatCode>
                <c:ptCount val="5"/>
                <c:pt idx="0">
                  <c:v>4.9000000000000002E-2</c:v>
                </c:pt>
                <c:pt idx="1">
                  <c:v>0.15</c:v>
                </c:pt>
                <c:pt idx="2">
                  <c:v>0.254</c:v>
                </c:pt>
                <c:pt idx="3">
                  <c:v>0.46899999999999997</c:v>
                </c:pt>
                <c:pt idx="4">
                  <c:v>0.59099999999999997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6-4EA5-8B2D-D03ABF6B7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064543"/>
        <c:axId val="1490039103"/>
      </c:scatterChart>
      <c:valAx>
        <c:axId val="149006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乳果糖浓度（</a:t>
                </a:r>
                <a:r>
                  <a:rPr lang="en-US" altLang="zh-CN"/>
                  <a:t>mg/mL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0039103"/>
        <c:crosses val="autoZero"/>
        <c:crossBetween val="midCat"/>
      </c:valAx>
      <c:valAx>
        <c:axId val="149003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OD518nm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0064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标曲</a:t>
            </a:r>
            <a:r>
              <a:rPr lang="en-US" altLang="zh-CN"/>
              <a:t>1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'2'!$F$3:$J$3</c:f>
              <c:numCache>
                <c:formatCode>General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0.05</c:v>
                </c:pt>
              </c:numCache>
            </c:numRef>
          </c:xVal>
          <c:yVal>
            <c:numRef>
              <c:f>'2'!$F$4:$J$4</c:f>
              <c:numCache>
                <c:formatCode>General</c:formatCode>
                <c:ptCount val="5"/>
                <c:pt idx="0">
                  <c:v>4.9000000000000002E-2</c:v>
                </c:pt>
                <c:pt idx="1">
                  <c:v>0.15</c:v>
                </c:pt>
                <c:pt idx="2">
                  <c:v>0.254</c:v>
                </c:pt>
                <c:pt idx="3">
                  <c:v>0.46899999999999997</c:v>
                </c:pt>
                <c:pt idx="4">
                  <c:v>0.59099999999999997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6-42AC-B745-9F61DBBB5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256143"/>
        <c:axId val="575258543"/>
      </c:scatterChart>
      <c:valAx>
        <c:axId val="57525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乳果糖浓度（</a:t>
                </a:r>
                <a:r>
                  <a:rPr lang="en-US" altLang="zh-CN"/>
                  <a:t>mg/mL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5258543"/>
        <c:crosses val="autoZero"/>
        <c:crossBetween val="midCat"/>
      </c:valAx>
      <c:valAx>
        <c:axId val="57525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OD518nm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525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CsCE-opt</a:t>
            </a:r>
            <a:r>
              <a:rPr lang="zh-CN"/>
              <a:t>突变体体积酶活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6350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'2'!$D$56:$AG$56</c:f>
                <c:numCache>
                  <c:formatCode>General</c:formatCode>
                  <c:ptCount val="30"/>
                  <c:pt idx="0">
                    <c:v>91.802683078284574</c:v>
                  </c:pt>
                  <c:pt idx="1">
                    <c:v>15.300447179713961</c:v>
                  </c:pt>
                  <c:pt idx="2">
                    <c:v>57.376676923927832</c:v>
                  </c:pt>
                  <c:pt idx="3">
                    <c:v>3.8251117949286506</c:v>
                  </c:pt>
                  <c:pt idx="4">
                    <c:v>72.677124103642043</c:v>
                  </c:pt>
                  <c:pt idx="5">
                    <c:v>42.076229744213791</c:v>
                  </c:pt>
                  <c:pt idx="6">
                    <c:v>206.55603692614011</c:v>
                  </c:pt>
                  <c:pt idx="7">
                    <c:v>103.27801846306987</c:v>
                  </c:pt>
                  <c:pt idx="8">
                    <c:v>30.600894359428082</c:v>
                  </c:pt>
                  <c:pt idx="9">
                    <c:v>160.65469538699696</c:v>
                  </c:pt>
                  <c:pt idx="10">
                    <c:v>186.14511731201264</c:v>
                  </c:pt>
                  <c:pt idx="11">
                    <c:v>20.989478978819022</c:v>
                  </c:pt>
                  <c:pt idx="12">
                    <c:v>37.571899957671484</c:v>
                  </c:pt>
                  <c:pt idx="13">
                    <c:v>5.0966807928236264</c:v>
                  </c:pt>
                  <c:pt idx="14">
                    <c:v>38.714496750018455</c:v>
                  </c:pt>
                  <c:pt idx="15">
                    <c:v>29.663731956718173</c:v>
                  </c:pt>
                  <c:pt idx="16">
                    <c:v>24.608791236387585</c:v>
                  </c:pt>
                  <c:pt idx="17">
                    <c:v>74.049716876182174</c:v>
                  </c:pt>
                  <c:pt idx="18">
                    <c:v>46.249904923640564</c:v>
                  </c:pt>
                  <c:pt idx="19">
                    <c:v>5.5145675329941284</c:v>
                  </c:pt>
                  <c:pt idx="20">
                    <c:v>48.413144263683186</c:v>
                  </c:pt>
                  <c:pt idx="21">
                    <c:v>26.068616141982972</c:v>
                  </c:pt>
                  <c:pt idx="22">
                    <c:v>52.137232283966256</c:v>
                  </c:pt>
                  <c:pt idx="23">
                    <c:v>119.17081664906574</c:v>
                  </c:pt>
                  <c:pt idx="24">
                    <c:v>44.689056243400138</c:v>
                  </c:pt>
                  <c:pt idx="25">
                    <c:v>96.826288527365776</c:v>
                  </c:pt>
                  <c:pt idx="26">
                    <c:v>48.413144263682959</c:v>
                  </c:pt>
                  <c:pt idx="27">
                    <c:v>33.516792182549793</c:v>
                  </c:pt>
                  <c:pt idx="28">
                    <c:v>37.240880202833004</c:v>
                  </c:pt>
                  <c:pt idx="29">
                    <c:v>70.757672385382719</c:v>
                  </c:pt>
                </c:numCache>
              </c:numRef>
            </c:plus>
            <c:minus>
              <c:numRef>
                <c:f>'2'!$D$56:$AG$56</c:f>
                <c:numCache>
                  <c:formatCode>General</c:formatCode>
                  <c:ptCount val="30"/>
                  <c:pt idx="0">
                    <c:v>91.802683078284574</c:v>
                  </c:pt>
                  <c:pt idx="1">
                    <c:v>15.300447179713961</c:v>
                  </c:pt>
                  <c:pt idx="2">
                    <c:v>57.376676923927832</c:v>
                  </c:pt>
                  <c:pt idx="3">
                    <c:v>3.8251117949286506</c:v>
                  </c:pt>
                  <c:pt idx="4">
                    <c:v>72.677124103642043</c:v>
                  </c:pt>
                  <c:pt idx="5">
                    <c:v>42.076229744213791</c:v>
                  </c:pt>
                  <c:pt idx="6">
                    <c:v>206.55603692614011</c:v>
                  </c:pt>
                  <c:pt idx="7">
                    <c:v>103.27801846306987</c:v>
                  </c:pt>
                  <c:pt idx="8">
                    <c:v>30.600894359428082</c:v>
                  </c:pt>
                  <c:pt idx="9">
                    <c:v>160.65469538699696</c:v>
                  </c:pt>
                  <c:pt idx="10">
                    <c:v>186.14511731201264</c:v>
                  </c:pt>
                  <c:pt idx="11">
                    <c:v>20.989478978819022</c:v>
                  </c:pt>
                  <c:pt idx="12">
                    <c:v>37.571899957671484</c:v>
                  </c:pt>
                  <c:pt idx="13">
                    <c:v>5.0966807928236264</c:v>
                  </c:pt>
                  <c:pt idx="14">
                    <c:v>38.714496750018455</c:v>
                  </c:pt>
                  <c:pt idx="15">
                    <c:v>29.663731956718173</c:v>
                  </c:pt>
                  <c:pt idx="16">
                    <c:v>24.608791236387585</c:v>
                  </c:pt>
                  <c:pt idx="17">
                    <c:v>74.049716876182174</c:v>
                  </c:pt>
                  <c:pt idx="18">
                    <c:v>46.249904923640564</c:v>
                  </c:pt>
                  <c:pt idx="19">
                    <c:v>5.5145675329941284</c:v>
                  </c:pt>
                  <c:pt idx="20">
                    <c:v>48.413144263683186</c:v>
                  </c:pt>
                  <c:pt idx="21">
                    <c:v>26.068616141982972</c:v>
                  </c:pt>
                  <c:pt idx="22">
                    <c:v>52.137232283966256</c:v>
                  </c:pt>
                  <c:pt idx="23">
                    <c:v>119.17081664906574</c:v>
                  </c:pt>
                  <c:pt idx="24">
                    <c:v>44.689056243400138</c:v>
                  </c:pt>
                  <c:pt idx="25">
                    <c:v>96.826288527365776</c:v>
                  </c:pt>
                  <c:pt idx="26">
                    <c:v>48.413144263682959</c:v>
                  </c:pt>
                  <c:pt idx="27">
                    <c:v>33.516792182549793</c:v>
                  </c:pt>
                  <c:pt idx="28">
                    <c:v>37.240880202833004</c:v>
                  </c:pt>
                  <c:pt idx="29">
                    <c:v>70.757672385382719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'2'!$D$44:$AG$44</c:f>
              <c:strCache>
                <c:ptCount val="30"/>
                <c:pt idx="0">
                  <c:v>IW</c:v>
                </c:pt>
                <c:pt idx="1">
                  <c:v>IY</c:v>
                </c:pt>
                <c:pt idx="2">
                  <c:v>IS</c:v>
                </c:pt>
                <c:pt idx="3">
                  <c:v>IF</c:v>
                </c:pt>
                <c:pt idx="4">
                  <c:v>IM</c:v>
                </c:pt>
                <c:pt idx="5">
                  <c:v>IT</c:v>
                </c:pt>
                <c:pt idx="6">
                  <c:v>IP</c:v>
                </c:pt>
                <c:pt idx="7">
                  <c:v>IL</c:v>
                </c:pt>
                <c:pt idx="8">
                  <c:v>IC</c:v>
                </c:pt>
                <c:pt idx="9">
                  <c:v>IA</c:v>
                </c:pt>
                <c:pt idx="10">
                  <c:v>GL</c:v>
                </c:pt>
                <c:pt idx="11">
                  <c:v>GQ</c:v>
                </c:pt>
                <c:pt idx="12">
                  <c:v>GT</c:v>
                </c:pt>
                <c:pt idx="13">
                  <c:v>GH</c:v>
                </c:pt>
                <c:pt idx="14">
                  <c:v>GC</c:v>
                </c:pt>
                <c:pt idx="15">
                  <c:v>GP</c:v>
                </c:pt>
                <c:pt idx="16">
                  <c:v>GE</c:v>
                </c:pt>
                <c:pt idx="17">
                  <c:v>GV</c:v>
                </c:pt>
                <c:pt idx="18">
                  <c:v>GS</c:v>
                </c:pt>
                <c:pt idx="19">
                  <c:v>GR</c:v>
                </c:pt>
                <c:pt idx="20">
                  <c:v>GF</c:v>
                </c:pt>
                <c:pt idx="21">
                  <c:v>GW</c:v>
                </c:pt>
                <c:pt idx="22">
                  <c:v>GY</c:v>
                </c:pt>
                <c:pt idx="23">
                  <c:v>GD</c:v>
                </c:pt>
                <c:pt idx="24">
                  <c:v>GK</c:v>
                </c:pt>
                <c:pt idx="25">
                  <c:v>GA</c:v>
                </c:pt>
                <c:pt idx="26">
                  <c:v>GI</c:v>
                </c:pt>
                <c:pt idx="27">
                  <c:v>GN</c:v>
                </c:pt>
                <c:pt idx="28">
                  <c:v>GM</c:v>
                </c:pt>
                <c:pt idx="29">
                  <c:v>QE</c:v>
                </c:pt>
              </c:strCache>
            </c:strRef>
          </c:cat>
          <c:val>
            <c:numRef>
              <c:f>'2'!$D$55:$AG$55</c:f>
              <c:numCache>
                <c:formatCode>General</c:formatCode>
                <c:ptCount val="30"/>
                <c:pt idx="0">
                  <c:v>210.97173542132344</c:v>
                </c:pt>
                <c:pt idx="1">
                  <c:v>843.88615784512456</c:v>
                </c:pt>
                <c:pt idx="2">
                  <c:v>981.82904478364537</c:v>
                </c:pt>
                <c:pt idx="3">
                  <c:v>787.08614557632166</c:v>
                </c:pt>
                <c:pt idx="4">
                  <c:v>797.9051955322841</c:v>
                </c:pt>
                <c:pt idx="5">
                  <c:v>954.78141989373921</c:v>
                </c:pt>
                <c:pt idx="6">
                  <c:v>984.53380727263561</c:v>
                </c:pt>
                <c:pt idx="7">
                  <c:v>738.40042077449107</c:v>
                </c:pt>
                <c:pt idx="8">
                  <c:v>925.02903251484247</c:v>
                </c:pt>
                <c:pt idx="9">
                  <c:v>995.35285722859817</c:v>
                </c:pt>
                <c:pt idx="10">
                  <c:v>463.42353412189942</c:v>
                </c:pt>
                <c:pt idx="11">
                  <c:v>685.62316146922137</c:v>
                </c:pt>
                <c:pt idx="12">
                  <c:v>389.96633934247711</c:v>
                </c:pt>
                <c:pt idx="13">
                  <c:v>528.32808169438204</c:v>
                </c:pt>
                <c:pt idx="14">
                  <c:v>546.68994234841489</c:v>
                </c:pt>
                <c:pt idx="15">
                  <c:v>426.69006065054225</c:v>
                </c:pt>
                <c:pt idx="16">
                  <c:v>702.06604019150325</c:v>
                </c:pt>
                <c:pt idx="17">
                  <c:v>474.30426651068279</c:v>
                </c:pt>
                <c:pt idx="18">
                  <c:v>746.76117977431477</c:v>
                </c:pt>
                <c:pt idx="19">
                  <c:v>306.83304814489532</c:v>
                </c:pt>
                <c:pt idx="20">
                  <c:v>229.09927156357168</c:v>
                </c:pt>
                <c:pt idx="21">
                  <c:v>81.632909562408898</c:v>
                </c:pt>
                <c:pt idx="22">
                  <c:v>579.33188131633324</c:v>
                </c:pt>
                <c:pt idx="23">
                  <c:v>442.39883088668205</c:v>
                </c:pt>
                <c:pt idx="24">
                  <c:v>310.73243624278666</c:v>
                </c:pt>
                <c:pt idx="25">
                  <c:v>394.99892881487978</c:v>
                </c:pt>
                <c:pt idx="26">
                  <c:v>450.29881456531587</c:v>
                </c:pt>
                <c:pt idx="27">
                  <c:v>729.43157121037393</c:v>
                </c:pt>
                <c:pt idx="28">
                  <c:v>684.6649970314495</c:v>
                </c:pt>
                <c:pt idx="29">
                  <c:v>1082.2975088560133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1-4412-BF4D-CCF688E53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318543"/>
        <c:axId val="575315183"/>
      </c:barChart>
      <c:catAx>
        <c:axId val="57531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75315183"/>
        <c:crosses val="autoZero"/>
        <c:auto val="1"/>
        <c:lblAlgn val="ctr"/>
        <c:lblOffset val="100"/>
        <c:noMultiLvlLbl val="0"/>
      </c:catAx>
      <c:valAx>
        <c:axId val="5753151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6350"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/>
                  <a:t>体积酶活（</a:t>
                </a:r>
                <a:r>
                  <a:rPr lang="en-US"/>
                  <a:t>U/L</a:t>
                </a:r>
                <a:r>
                  <a:rPr lang="zh-CN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6350"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57531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n w="6350">
            <a:solidFill>
              <a:schemeClr val="tx1"/>
            </a:solidFill>
          </a:ln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标曲</a:t>
            </a:r>
            <a:r>
              <a:rPr lang="en-US" altLang="zh-CN"/>
              <a:t>2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'2'!$P$3:$T$3</c:f>
              <c:numCache>
                <c:formatCode>General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0.05</c:v>
                </c:pt>
              </c:numCache>
            </c:numRef>
          </c:xVal>
          <c:yVal>
            <c:numRef>
              <c:f>'2'!$P$4:$T$4</c:f>
              <c:numCache>
                <c:formatCode>General</c:formatCode>
                <c:ptCount val="5"/>
                <c:pt idx="0">
                  <c:v>4.5999999999999999E-2</c:v>
                </c:pt>
                <c:pt idx="1">
                  <c:v>0.15</c:v>
                </c:pt>
                <c:pt idx="2">
                  <c:v>0.26500000000000001</c:v>
                </c:pt>
                <c:pt idx="3">
                  <c:v>0.48899999999999999</c:v>
                </c:pt>
                <c:pt idx="4">
                  <c:v>0.59699999999999998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61-44B0-B196-D62895224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675343"/>
        <c:axId val="1667683503"/>
      </c:scatterChart>
      <c:valAx>
        <c:axId val="166767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乳果糖浓度（</a:t>
                </a:r>
                <a:r>
                  <a:rPr lang="en-US" altLang="zh-CN"/>
                  <a:t>mg/mL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7683503"/>
        <c:crosses val="autoZero"/>
        <c:crossBetween val="midCat"/>
      </c:valAx>
      <c:valAx>
        <c:axId val="166768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OD518nm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6767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CsCE-opt</a:t>
            </a:r>
            <a:r>
              <a:rPr lang="zh-CN" altLang="en-US"/>
              <a:t>突变体体积酶活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6350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'3'!$D$43:$AF$43</c:f>
                <c:numCache>
                  <c:formatCode>General</c:formatCode>
                  <c:ptCount val="29"/>
                  <c:pt idx="0">
                    <c:v>130.05378863420745</c:v>
                  </c:pt>
                  <c:pt idx="1">
                    <c:v>7.6502111964947614</c:v>
                  </c:pt>
                  <c:pt idx="2">
                    <c:v>30.600906752790451</c:v>
                  </c:pt>
                  <c:pt idx="3">
                    <c:v>84.152447095065625</c:v>
                  </c:pt>
                  <c:pt idx="4">
                    <c:v>95.627782479850637</c:v>
                  </c:pt>
                  <c:pt idx="5">
                    <c:v>42.076217350851543</c:v>
                  </c:pt>
                  <c:pt idx="6">
                    <c:v>1.2393362125871588E-5</c:v>
                  </c:pt>
                  <c:pt idx="7">
                    <c:v>11.475322991423344</c:v>
                  </c:pt>
                  <c:pt idx="8">
                    <c:v>3.8251241882906966</c:v>
                  </c:pt>
                  <c:pt idx="9">
                    <c:v>3.8250994015662036</c:v>
                  </c:pt>
                  <c:pt idx="10">
                    <c:v>53.551552735637138</c:v>
                  </c:pt>
                  <c:pt idx="11">
                    <c:v>34.425993760994608</c:v>
                  </c:pt>
                  <c:pt idx="12">
                    <c:v>133.8789004291358</c:v>
                  </c:pt>
                  <c:pt idx="13">
                    <c:v>15.300459573076248</c:v>
                  </c:pt>
                  <c:pt idx="14">
                    <c:v>91.802670684922504</c:v>
                  </c:pt>
                  <c:pt idx="15">
                    <c:v>95.627782479850779</c:v>
                  </c:pt>
                  <c:pt idx="16">
                    <c:v>61.201776325494116</c:v>
                  </c:pt>
                  <c:pt idx="17">
                    <c:v>107.10311786463662</c:v>
                  </c:pt>
                  <c:pt idx="18">
                    <c:v>80.327335300137122</c:v>
                  </c:pt>
                  <c:pt idx="19">
                    <c:v>84.152447095065511</c:v>
                  </c:pt>
                  <c:pt idx="20">
                    <c:v>80.327335300136724</c:v>
                  </c:pt>
                  <c:pt idx="21">
                    <c:v>76.50222350520869</c:v>
                  </c:pt>
                  <c:pt idx="22">
                    <c:v>72.677111710279718</c:v>
                  </c:pt>
                  <c:pt idx="23">
                    <c:v>11.475322991423264</c:v>
                  </c:pt>
                  <c:pt idx="24">
                    <c:v>107.10311786463608</c:v>
                  </c:pt>
                  <c:pt idx="25">
                    <c:v>122.40356504435114</c:v>
                  </c:pt>
                  <c:pt idx="26">
                    <c:v>87.977558889994199</c:v>
                  </c:pt>
                  <c:pt idx="27">
                    <c:v>1.2393362206260322E-5</c:v>
                  </c:pt>
                  <c:pt idx="28">
                    <c:v>80.327335300136895</c:v>
                  </c:pt>
                </c:numCache>
              </c:numRef>
            </c:plus>
            <c:minus>
              <c:numRef>
                <c:f>'3'!$D$43:$AF$43</c:f>
                <c:numCache>
                  <c:formatCode>General</c:formatCode>
                  <c:ptCount val="29"/>
                  <c:pt idx="0">
                    <c:v>130.05378863420745</c:v>
                  </c:pt>
                  <c:pt idx="1">
                    <c:v>7.6502111964947614</c:v>
                  </c:pt>
                  <c:pt idx="2">
                    <c:v>30.600906752790451</c:v>
                  </c:pt>
                  <c:pt idx="3">
                    <c:v>84.152447095065625</c:v>
                  </c:pt>
                  <c:pt idx="4">
                    <c:v>95.627782479850637</c:v>
                  </c:pt>
                  <c:pt idx="5">
                    <c:v>42.076217350851543</c:v>
                  </c:pt>
                  <c:pt idx="6">
                    <c:v>1.2393362125871588E-5</c:v>
                  </c:pt>
                  <c:pt idx="7">
                    <c:v>11.475322991423344</c:v>
                  </c:pt>
                  <c:pt idx="8">
                    <c:v>3.8251241882906966</c:v>
                  </c:pt>
                  <c:pt idx="9">
                    <c:v>3.8250994015662036</c:v>
                  </c:pt>
                  <c:pt idx="10">
                    <c:v>53.551552735637138</c:v>
                  </c:pt>
                  <c:pt idx="11">
                    <c:v>34.425993760994608</c:v>
                  </c:pt>
                  <c:pt idx="12">
                    <c:v>133.8789004291358</c:v>
                  </c:pt>
                  <c:pt idx="13">
                    <c:v>15.300459573076248</c:v>
                  </c:pt>
                  <c:pt idx="14">
                    <c:v>91.802670684922504</c:v>
                  </c:pt>
                  <c:pt idx="15">
                    <c:v>95.627782479850779</c:v>
                  </c:pt>
                  <c:pt idx="16">
                    <c:v>61.201776325494116</c:v>
                  </c:pt>
                  <c:pt idx="17">
                    <c:v>107.10311786463662</c:v>
                  </c:pt>
                  <c:pt idx="18">
                    <c:v>80.327335300137122</c:v>
                  </c:pt>
                  <c:pt idx="19">
                    <c:v>84.152447095065511</c:v>
                  </c:pt>
                  <c:pt idx="20">
                    <c:v>80.327335300136724</c:v>
                  </c:pt>
                  <c:pt idx="21">
                    <c:v>76.50222350520869</c:v>
                  </c:pt>
                  <c:pt idx="22">
                    <c:v>72.677111710279718</c:v>
                  </c:pt>
                  <c:pt idx="23">
                    <c:v>11.475322991423264</c:v>
                  </c:pt>
                  <c:pt idx="24">
                    <c:v>107.10311786463608</c:v>
                  </c:pt>
                  <c:pt idx="25">
                    <c:v>122.40356504435114</c:v>
                  </c:pt>
                  <c:pt idx="26">
                    <c:v>87.977558889994199</c:v>
                  </c:pt>
                  <c:pt idx="27">
                    <c:v>1.2393362206260322E-5</c:v>
                  </c:pt>
                  <c:pt idx="28">
                    <c:v>80.327335300136895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'3'!$D$31:$AF$31</c:f>
              <c:strCache>
                <c:ptCount val="29"/>
                <c:pt idx="0">
                  <c:v>WC</c:v>
                </c:pt>
                <c:pt idx="1">
                  <c:v>WV</c:v>
                </c:pt>
                <c:pt idx="2">
                  <c:v>WA</c:v>
                </c:pt>
                <c:pt idx="3">
                  <c:v>QE</c:v>
                </c:pt>
                <c:pt idx="4">
                  <c:v>QY</c:v>
                </c:pt>
                <c:pt idx="5">
                  <c:v>WI</c:v>
                </c:pt>
                <c:pt idx="6">
                  <c:v>QK</c:v>
                </c:pt>
                <c:pt idx="7">
                  <c:v>WK</c:v>
                </c:pt>
                <c:pt idx="8">
                  <c:v>QH</c:v>
                </c:pt>
                <c:pt idx="9">
                  <c:v>QP</c:v>
                </c:pt>
                <c:pt idx="10">
                  <c:v>QS</c:v>
                </c:pt>
                <c:pt idx="11">
                  <c:v>QV</c:v>
                </c:pt>
                <c:pt idx="12">
                  <c:v>QL</c:v>
                </c:pt>
                <c:pt idx="13">
                  <c:v>QA</c:v>
                </c:pt>
                <c:pt idx="14">
                  <c:v>QT</c:v>
                </c:pt>
                <c:pt idx="15">
                  <c:v>QD</c:v>
                </c:pt>
                <c:pt idx="16">
                  <c:v>QN</c:v>
                </c:pt>
                <c:pt idx="17">
                  <c:v>WL</c:v>
                </c:pt>
                <c:pt idx="18">
                  <c:v>QR</c:v>
                </c:pt>
                <c:pt idx="19">
                  <c:v>WF</c:v>
                </c:pt>
                <c:pt idx="20">
                  <c:v>WS</c:v>
                </c:pt>
                <c:pt idx="21">
                  <c:v>WE</c:v>
                </c:pt>
                <c:pt idx="22">
                  <c:v>WM</c:v>
                </c:pt>
                <c:pt idx="23">
                  <c:v>QI</c:v>
                </c:pt>
                <c:pt idx="24">
                  <c:v>QC</c:v>
                </c:pt>
                <c:pt idx="25">
                  <c:v>QG</c:v>
                </c:pt>
                <c:pt idx="26">
                  <c:v>QW</c:v>
                </c:pt>
                <c:pt idx="27">
                  <c:v>QM</c:v>
                </c:pt>
                <c:pt idx="28">
                  <c:v>QF</c:v>
                </c:pt>
              </c:strCache>
            </c:strRef>
          </c:cat>
          <c:val>
            <c:numRef>
              <c:f>'3'!$D$42:$AF$42</c:f>
              <c:numCache>
                <c:formatCode>0.00_);[Red]\(0.00\)</c:formatCode>
                <c:ptCount val="29"/>
                <c:pt idx="0">
                  <c:v>248.83794926747322</c:v>
                </c:pt>
                <c:pt idx="1">
                  <c:v>10.818850236300216</c:v>
                </c:pt>
                <c:pt idx="2">
                  <c:v>448.99037345277782</c:v>
                </c:pt>
                <c:pt idx="3">
                  <c:v>1060.266695964654</c:v>
                </c:pt>
                <c:pt idx="4">
                  <c:v>316.45701149223828</c:v>
                </c:pt>
                <c:pt idx="5">
                  <c:v>413.82846109590014</c:v>
                </c:pt>
                <c:pt idx="6">
                  <c:v>605.86659781423282</c:v>
                </c:pt>
                <c:pt idx="7">
                  <c:v>321.8665364702195</c:v>
                </c:pt>
                <c:pt idx="8">
                  <c:v>549.06658554543014</c:v>
                </c:pt>
                <c:pt idx="9">
                  <c:v>619.39041025918573</c:v>
                </c:pt>
                <c:pt idx="10">
                  <c:v>724.8761473298191</c:v>
                </c:pt>
                <c:pt idx="11">
                  <c:v>273.18081166838863</c:v>
                </c:pt>
                <c:pt idx="12">
                  <c:v>516.60943567754293</c:v>
                </c:pt>
                <c:pt idx="13">
                  <c:v>838.47617186742457</c:v>
                </c:pt>
                <c:pt idx="14">
                  <c:v>367.84749878305979</c:v>
                </c:pt>
                <c:pt idx="15">
                  <c:v>846.59045933439643</c:v>
                </c:pt>
                <c:pt idx="16">
                  <c:v>638.32374768212003</c:v>
                </c:pt>
                <c:pt idx="17">
                  <c:v>589.6380228802891</c:v>
                </c:pt>
                <c:pt idx="18">
                  <c:v>484.15228580965567</c:v>
                </c:pt>
                <c:pt idx="19">
                  <c:v>497.67609825460852</c:v>
                </c:pt>
                <c:pt idx="20">
                  <c:v>727.58090981880969</c:v>
                </c:pt>
                <c:pt idx="21">
                  <c:v>497.67609825460869</c:v>
                </c:pt>
                <c:pt idx="22">
                  <c:v>549.06658554543003</c:v>
                </c:pt>
                <c:pt idx="23">
                  <c:v>370.55226127205032</c:v>
                </c:pt>
                <c:pt idx="24">
                  <c:v>578.81897292432677</c:v>
                </c:pt>
                <c:pt idx="25">
                  <c:v>860.11427177934934</c:v>
                </c:pt>
                <c:pt idx="26">
                  <c:v>381.37131122801281</c:v>
                </c:pt>
                <c:pt idx="27">
                  <c:v>632.91422270413887</c:v>
                </c:pt>
                <c:pt idx="28">
                  <c:v>987.23810876190782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1-4995-ACB4-91D7A1C47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624815"/>
        <c:axId val="1423601775"/>
      </c:barChart>
      <c:catAx>
        <c:axId val="142362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3601775"/>
        <c:crosses val="autoZero"/>
        <c:auto val="1"/>
        <c:lblAlgn val="ctr"/>
        <c:lblOffset val="100"/>
        <c:noMultiLvlLbl val="0"/>
      </c:catAx>
      <c:valAx>
        <c:axId val="14236017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6350"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体积酶活（</a:t>
                </a:r>
                <a:r>
                  <a:rPr lang="en-US" altLang="zh-CN"/>
                  <a:t>U/L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6350"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362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n w="6350">
            <a:solidFill>
              <a:schemeClr val="tx1"/>
            </a:solidFill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标曲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'3'!$D$3:$H$3</c:f>
              <c:numCache>
                <c:formatCode>General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0.05</c:v>
                </c:pt>
              </c:numCache>
            </c:numRef>
          </c:xVal>
          <c:yVal>
            <c:numRef>
              <c:f>'3'!$D$4:$H$4</c:f>
              <c:numCache>
                <c:formatCode>General</c:formatCode>
                <c:ptCount val="5"/>
                <c:pt idx="0">
                  <c:v>4.9000000000000002E-2</c:v>
                </c:pt>
                <c:pt idx="1">
                  <c:v>0.15</c:v>
                </c:pt>
                <c:pt idx="2">
                  <c:v>0.254</c:v>
                </c:pt>
                <c:pt idx="3">
                  <c:v>0.46899999999999997</c:v>
                </c:pt>
                <c:pt idx="4">
                  <c:v>0.59099999999999997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34-49AF-B5CE-F5E98B23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053983"/>
        <c:axId val="1490066463"/>
      </c:scatterChart>
      <c:valAx>
        <c:axId val="149005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乳果糖浓度（</a:t>
                </a:r>
                <a:r>
                  <a:rPr lang="en-US" altLang="zh-CN"/>
                  <a:t>mg/mL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0066463"/>
        <c:crosses val="autoZero"/>
        <c:crossBetween val="midCat"/>
      </c:valAx>
      <c:valAx>
        <c:axId val="149006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OD518nm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005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标曲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'4'!$D$3:$H$3</c:f>
              <c:numCache>
                <c:formatCode>General</c:formatCode>
                <c:ptCount val="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</c:numCache>
            </c:numRef>
          </c:xVal>
          <c:yVal>
            <c:numRef>
              <c:f>'4'!$D$4:$H$4</c:f>
              <c:numCache>
                <c:formatCode>General</c:formatCode>
                <c:ptCount val="5"/>
                <c:pt idx="0">
                  <c:v>6.6000000000000003E-2</c:v>
                </c:pt>
                <c:pt idx="1">
                  <c:v>0.28999999999999998</c:v>
                </c:pt>
                <c:pt idx="2">
                  <c:v>0.52900000000000003</c:v>
                </c:pt>
                <c:pt idx="3">
                  <c:v>0.76100000000000001</c:v>
                </c:pt>
                <c:pt idx="4">
                  <c:v>0.97699999999999998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18-4B9E-A5D2-94C46D6B4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36704"/>
        <c:axId val="186935168"/>
      </c:scatterChart>
      <c:valAx>
        <c:axId val="18693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乳果糖浓度（</a:t>
                </a:r>
                <a:r>
                  <a:rPr lang="en-US" altLang="zh-CN"/>
                  <a:t>mg/mL</a:t>
                </a:r>
                <a:r>
                  <a:rPr lang="zh-CN" altLang="en-US"/>
                  <a:t>）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935168"/>
        <c:crosses val="autoZero"/>
        <c:crossBetween val="midCat"/>
      </c:valAx>
      <c:valAx>
        <c:axId val="186935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OD518nm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9367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CsCE-opt</a:t>
            </a:r>
            <a:r>
              <a:rPr lang="zh-CN" altLang="en-US"/>
              <a:t>突变体体积酶活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6350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'4'!$D$39:$AF$39</c:f>
                <c:numCache>
                  <c:formatCode>General</c:formatCode>
                  <c:ptCount val="29"/>
                  <c:pt idx="0">
                    <c:v>104.54938127064932</c:v>
                  </c:pt>
                  <c:pt idx="1">
                    <c:v>21.630909950625185</c:v>
                  </c:pt>
                  <c:pt idx="2">
                    <c:v>21.630909950625025</c:v>
                  </c:pt>
                  <c:pt idx="3">
                    <c:v>7.2102994713804822</c:v>
                  </c:pt>
                  <c:pt idx="4">
                    <c:v>115.36484057214227</c:v>
                  </c:pt>
                  <c:pt idx="5">
                    <c:v>155.02149775915927</c:v>
                  </c:pt>
                  <c:pt idx="6">
                    <c:v>111.75968362615042</c:v>
                  </c:pt>
                  <c:pt idx="7">
                    <c:v>10.815456417372889</c:v>
                  </c:pt>
                  <c:pt idx="8">
                    <c:v>72.103026439134837</c:v>
                  </c:pt>
                  <c:pt idx="9">
                    <c:v>273.99148662493172</c:v>
                  </c:pt>
                  <c:pt idx="10">
                    <c:v>191.07301530490773</c:v>
                  </c:pt>
                  <c:pt idx="11">
                    <c:v>46.866962426637919</c:v>
                  </c:pt>
                  <c:pt idx="12">
                    <c:v>7.2102994713804822</c:v>
                  </c:pt>
                  <c:pt idx="13">
                    <c:v>50.472113604388738</c:v>
                  </c:pt>
                  <c:pt idx="14">
                    <c:v>14.420601826881718</c:v>
                  </c:pt>
                  <c:pt idx="15">
                    <c:v>2.8841208946755751E-6</c:v>
                  </c:pt>
                  <c:pt idx="16">
                    <c:v>28.84120653788435</c:v>
                  </c:pt>
                  <c:pt idx="17">
                    <c:v>39.656660071136606</c:v>
                  </c:pt>
                  <c:pt idx="18">
                    <c:v>155.02149775915927</c:v>
                  </c:pt>
                  <c:pt idx="19">
                    <c:v>104.54938127064918</c:v>
                  </c:pt>
                  <c:pt idx="20">
                    <c:v>3.6051540618716134</c:v>
                  </c:pt>
                  <c:pt idx="21">
                    <c:v>122.57513715940273</c:v>
                  </c:pt>
                  <c:pt idx="22">
                    <c:v>155.02150352740003</c:v>
                  </c:pt>
                  <c:pt idx="23">
                    <c:v>151.41634658140819</c:v>
                  </c:pt>
                  <c:pt idx="24">
                    <c:v>111.75968939439268</c:v>
                  </c:pt>
                  <c:pt idx="25">
                    <c:v>158.62665470515125</c:v>
                  </c:pt>
                  <c:pt idx="26">
                    <c:v>36.051508893386213</c:v>
                  </c:pt>
                  <c:pt idx="27">
                    <c:v>115.36483480390153</c:v>
                  </c:pt>
                  <c:pt idx="28">
                    <c:v>36.051514661627813</c:v>
                  </c:pt>
                </c:numCache>
              </c:numRef>
            </c:plus>
            <c:minus>
              <c:numRef>
                <c:f>'4'!$D$39:$AF$39</c:f>
                <c:numCache>
                  <c:formatCode>General</c:formatCode>
                  <c:ptCount val="29"/>
                  <c:pt idx="0">
                    <c:v>104.54938127064932</c:v>
                  </c:pt>
                  <c:pt idx="1">
                    <c:v>21.630909950625185</c:v>
                  </c:pt>
                  <c:pt idx="2">
                    <c:v>21.630909950625025</c:v>
                  </c:pt>
                  <c:pt idx="3">
                    <c:v>7.2102994713804822</c:v>
                  </c:pt>
                  <c:pt idx="4">
                    <c:v>115.36484057214227</c:v>
                  </c:pt>
                  <c:pt idx="5">
                    <c:v>155.02149775915927</c:v>
                  </c:pt>
                  <c:pt idx="6">
                    <c:v>111.75968362615042</c:v>
                  </c:pt>
                  <c:pt idx="7">
                    <c:v>10.815456417372889</c:v>
                  </c:pt>
                  <c:pt idx="8">
                    <c:v>72.103026439134837</c:v>
                  </c:pt>
                  <c:pt idx="9">
                    <c:v>273.99148662493172</c:v>
                  </c:pt>
                  <c:pt idx="10">
                    <c:v>191.07301530490773</c:v>
                  </c:pt>
                  <c:pt idx="11">
                    <c:v>46.866962426637919</c:v>
                  </c:pt>
                  <c:pt idx="12">
                    <c:v>7.2102994713804822</c:v>
                  </c:pt>
                  <c:pt idx="13">
                    <c:v>50.472113604388738</c:v>
                  </c:pt>
                  <c:pt idx="14">
                    <c:v>14.420601826881718</c:v>
                  </c:pt>
                  <c:pt idx="15">
                    <c:v>2.8841208946755751E-6</c:v>
                  </c:pt>
                  <c:pt idx="16">
                    <c:v>28.84120653788435</c:v>
                  </c:pt>
                  <c:pt idx="17">
                    <c:v>39.656660071136606</c:v>
                  </c:pt>
                  <c:pt idx="18">
                    <c:v>155.02149775915927</c:v>
                  </c:pt>
                  <c:pt idx="19">
                    <c:v>104.54938127064918</c:v>
                  </c:pt>
                  <c:pt idx="20">
                    <c:v>3.6051540618716134</c:v>
                  </c:pt>
                  <c:pt idx="21">
                    <c:v>122.57513715940273</c:v>
                  </c:pt>
                  <c:pt idx="22">
                    <c:v>155.02150352740003</c:v>
                  </c:pt>
                  <c:pt idx="23">
                    <c:v>151.41634658140819</c:v>
                  </c:pt>
                  <c:pt idx="24">
                    <c:v>111.75968939439268</c:v>
                  </c:pt>
                  <c:pt idx="25">
                    <c:v>158.62665470515125</c:v>
                  </c:pt>
                  <c:pt idx="26">
                    <c:v>36.051508893386213</c:v>
                  </c:pt>
                  <c:pt idx="27">
                    <c:v>115.36483480390153</c:v>
                  </c:pt>
                  <c:pt idx="28">
                    <c:v>36.051514661627813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'4'!$D$27:$AF$27</c:f>
              <c:strCache>
                <c:ptCount val="29"/>
                <c:pt idx="0">
                  <c:v>WN</c:v>
                </c:pt>
                <c:pt idx="1">
                  <c:v>WP</c:v>
                </c:pt>
                <c:pt idx="2">
                  <c:v>NK</c:v>
                </c:pt>
                <c:pt idx="3">
                  <c:v>NG</c:v>
                </c:pt>
                <c:pt idx="4">
                  <c:v>WG</c:v>
                </c:pt>
                <c:pt idx="5">
                  <c:v>VR</c:v>
                </c:pt>
                <c:pt idx="6">
                  <c:v>VK</c:v>
                </c:pt>
                <c:pt idx="7">
                  <c:v>IG</c:v>
                </c:pt>
                <c:pt idx="8">
                  <c:v>VI</c:v>
                </c:pt>
                <c:pt idx="9">
                  <c:v>VN</c:v>
                </c:pt>
                <c:pt idx="10">
                  <c:v>VY</c:v>
                </c:pt>
                <c:pt idx="11">
                  <c:v>VL</c:v>
                </c:pt>
                <c:pt idx="12">
                  <c:v>VT</c:v>
                </c:pt>
                <c:pt idx="13">
                  <c:v>VA</c:v>
                </c:pt>
                <c:pt idx="14">
                  <c:v>NE</c:v>
                </c:pt>
                <c:pt idx="15">
                  <c:v>NC</c:v>
                </c:pt>
                <c:pt idx="16">
                  <c:v>QE</c:v>
                </c:pt>
                <c:pt idx="17">
                  <c:v>NV</c:v>
                </c:pt>
                <c:pt idx="18">
                  <c:v>WH</c:v>
                </c:pt>
                <c:pt idx="19">
                  <c:v>VD</c:v>
                </c:pt>
                <c:pt idx="20">
                  <c:v>IV</c:v>
                </c:pt>
                <c:pt idx="21">
                  <c:v>NF</c:v>
                </c:pt>
                <c:pt idx="22">
                  <c:v>VE</c:v>
                </c:pt>
                <c:pt idx="23">
                  <c:v>NH</c:v>
                </c:pt>
                <c:pt idx="24">
                  <c:v>WY</c:v>
                </c:pt>
                <c:pt idx="25">
                  <c:v>WR</c:v>
                </c:pt>
                <c:pt idx="26">
                  <c:v>WD</c:v>
                </c:pt>
                <c:pt idx="27">
                  <c:v>WQ</c:v>
                </c:pt>
                <c:pt idx="28">
                  <c:v>NY</c:v>
                </c:pt>
              </c:strCache>
            </c:strRef>
          </c:cat>
          <c:val>
            <c:numRef>
              <c:f>'4'!$D$38:$AF$38</c:f>
              <c:numCache>
                <c:formatCode>General</c:formatCode>
                <c:ptCount val="29"/>
                <c:pt idx="0">
                  <c:v>390.03157982215549</c:v>
                </c:pt>
                <c:pt idx="1">
                  <c:v>520.04214891665492</c:v>
                </c:pt>
                <c:pt idx="2">
                  <c:v>188.64265906793125</c:v>
                </c:pt>
                <c:pt idx="3">
                  <c:v>474.15606570683173</c:v>
                </c:pt>
                <c:pt idx="4">
                  <c:v>586.32204688639968</c:v>
                </c:pt>
                <c:pt idx="5">
                  <c:v>680.64344015103654</c:v>
                </c:pt>
                <c:pt idx="6">
                  <c:v>660.24962539111505</c:v>
                </c:pt>
                <c:pt idx="7">
                  <c:v>308.45632078246956</c:v>
                </c:pt>
                <c:pt idx="8">
                  <c:v>550.63287105653694</c:v>
                </c:pt>
                <c:pt idx="9">
                  <c:v>576.12513950643893</c:v>
                </c:pt>
                <c:pt idx="10">
                  <c:v>701.03725491095793</c:v>
                </c:pt>
                <c:pt idx="11">
                  <c:v>670.44653277107557</c:v>
                </c:pt>
                <c:pt idx="12">
                  <c:v>713.78338913590881</c:v>
                </c:pt>
                <c:pt idx="13">
                  <c:v>489.45142677677279</c:v>
                </c:pt>
                <c:pt idx="14">
                  <c:v>565.92823212647841</c:v>
                </c:pt>
                <c:pt idx="15">
                  <c:v>168.24884430800972</c:v>
                </c:pt>
                <c:pt idx="16">
                  <c:v>1070.6751474345342</c:v>
                </c:pt>
                <c:pt idx="17">
                  <c:v>507.29601469170399</c:v>
                </c:pt>
                <c:pt idx="18">
                  <c:v>736.72643074082032</c:v>
                </c:pt>
                <c:pt idx="19">
                  <c:v>808.10478240054567</c:v>
                </c:pt>
                <c:pt idx="20">
                  <c:v>757.12024550074193</c:v>
                </c:pt>
                <c:pt idx="21">
                  <c:v>290.61173286753848</c:v>
                </c:pt>
                <c:pt idx="22">
                  <c:v>680.64344015103643</c:v>
                </c:pt>
                <c:pt idx="23">
                  <c:v>397.67926035712605</c:v>
                </c:pt>
                <c:pt idx="24">
                  <c:v>527.6898294516252</c:v>
                </c:pt>
                <c:pt idx="25">
                  <c:v>249.82410334769557</c:v>
                </c:pt>
                <c:pt idx="26">
                  <c:v>224.33183489779375</c:v>
                </c:pt>
                <c:pt idx="27">
                  <c:v>581.2235931964193</c:v>
                </c:pt>
                <c:pt idx="28">
                  <c:v>565.92823212647818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1-438F-847E-4601FA8C0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470880"/>
        <c:axId val="1743453600"/>
      </c:barChart>
      <c:catAx>
        <c:axId val="174347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3453600"/>
        <c:crosses val="autoZero"/>
        <c:auto val="1"/>
        <c:lblAlgn val="ctr"/>
        <c:lblOffset val="100"/>
        <c:noMultiLvlLbl val="0"/>
      </c:catAx>
      <c:valAx>
        <c:axId val="17434536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6350"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体积酶活（</a:t>
                </a:r>
                <a:r>
                  <a:rPr lang="en-US" altLang="zh-CN"/>
                  <a:t>U/L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6350"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347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n w="6350">
            <a:solidFill>
              <a:schemeClr val="tx1"/>
            </a:solidFill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'5'!$E$3:$I$3</c:f>
              <c:numCache>
                <c:formatCode>General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0.05</c:v>
                </c:pt>
              </c:numCache>
            </c:numRef>
          </c:xVal>
          <c:yVal>
            <c:numRef>
              <c:f>'5'!$E$4:$I$4</c:f>
              <c:numCache>
                <c:formatCode>General</c:formatCode>
                <c:ptCount val="5"/>
                <c:pt idx="0">
                  <c:v>4.5999999999999999E-2</c:v>
                </c:pt>
                <c:pt idx="1">
                  <c:v>0.154</c:v>
                </c:pt>
                <c:pt idx="2">
                  <c:v>0.26500000000000001</c:v>
                </c:pt>
                <c:pt idx="3">
                  <c:v>0.49099999999999999</c:v>
                </c:pt>
                <c:pt idx="4">
                  <c:v>0.59199999999999997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48-427C-9F4C-4DDCB3FD1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937135"/>
        <c:axId val="111016063"/>
      </c:scatterChart>
      <c:valAx>
        <c:axId val="27893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Lu </a:t>
                </a:r>
                <a:r>
                  <a:rPr lang="zh-CN" altLang="en-US"/>
                  <a:t>浓度（</a:t>
                </a:r>
                <a:r>
                  <a:rPr lang="en-US" altLang="zh-CN"/>
                  <a:t>mg/mL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016063"/>
        <c:crosses val="autoZero"/>
        <c:crossBetween val="midCat"/>
      </c:valAx>
      <c:valAx>
        <c:axId val="11101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OD518nm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93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CsCE-opt</a:t>
            </a:r>
            <a:r>
              <a:rPr lang="zh-CN" altLang="en-US"/>
              <a:t>突变体体积酶活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6350"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'5'!$D$37:$W$37</c:f>
                <c:numCache>
                  <c:formatCode>General</c:formatCode>
                  <c:ptCount val="20"/>
                  <c:pt idx="0">
                    <c:v>101.36364229356309</c:v>
                  </c:pt>
                  <c:pt idx="1">
                    <c:v>52.558969648283977</c:v>
                  </c:pt>
                  <c:pt idx="2">
                    <c:v>90.101025529267304</c:v>
                  </c:pt>
                  <c:pt idx="3">
                    <c:v>48.804764060185121</c:v>
                  </c:pt>
                  <c:pt idx="4">
                    <c:v>150.16831493884243</c:v>
                  </c:pt>
                  <c:pt idx="5">
                    <c:v>56.313175236382023</c:v>
                  </c:pt>
                  <c:pt idx="6">
                    <c:v>52.558969648283899</c:v>
                  </c:pt>
                  <c:pt idx="7">
                    <c:v>135.15149258644817</c:v>
                  </c:pt>
                  <c:pt idx="8">
                    <c:v>71.329997588775399</c:v>
                  </c:pt>
                  <c:pt idx="9">
                    <c:v>116.38046464595608</c:v>
                  </c:pt>
                  <c:pt idx="10">
                    <c:v>67.575792000677453</c:v>
                  </c:pt>
                  <c:pt idx="11">
                    <c:v>60.067380824480637</c:v>
                  </c:pt>
                  <c:pt idx="12">
                    <c:v>138.90569817454673</c:v>
                  </c:pt>
                  <c:pt idx="13">
                    <c:v>7.5085025911030217</c:v>
                  </c:pt>
                  <c:pt idx="14">
                    <c:v>97.609436705464887</c:v>
                  </c:pt>
                  <c:pt idx="15">
                    <c:v>131.39710416853814</c:v>
                  </c:pt>
                  <c:pt idx="16">
                    <c:v>67.575609170865036</c:v>
                  </c:pt>
                  <c:pt idx="17">
                    <c:v>33.787758877979719</c:v>
                  </c:pt>
                  <c:pt idx="18">
                    <c:v>142.65990376264523</c:v>
                  </c:pt>
                  <c:pt idx="19">
                    <c:v>82.592614353071085</c:v>
                  </c:pt>
                </c:numCache>
              </c:numRef>
            </c:plus>
            <c:minus>
              <c:numRef>
                <c:f>'5'!$D$37:$W$37</c:f>
                <c:numCache>
                  <c:formatCode>General</c:formatCode>
                  <c:ptCount val="20"/>
                  <c:pt idx="0">
                    <c:v>101.36364229356309</c:v>
                  </c:pt>
                  <c:pt idx="1">
                    <c:v>52.558969648283977</c:v>
                  </c:pt>
                  <c:pt idx="2">
                    <c:v>90.101025529267304</c:v>
                  </c:pt>
                  <c:pt idx="3">
                    <c:v>48.804764060185121</c:v>
                  </c:pt>
                  <c:pt idx="4">
                    <c:v>150.16831493884243</c:v>
                  </c:pt>
                  <c:pt idx="5">
                    <c:v>56.313175236382023</c:v>
                  </c:pt>
                  <c:pt idx="6">
                    <c:v>52.558969648283899</c:v>
                  </c:pt>
                  <c:pt idx="7">
                    <c:v>135.15149258644817</c:v>
                  </c:pt>
                  <c:pt idx="8">
                    <c:v>71.329997588775399</c:v>
                  </c:pt>
                  <c:pt idx="9">
                    <c:v>116.38046464595608</c:v>
                  </c:pt>
                  <c:pt idx="10">
                    <c:v>67.575792000677453</c:v>
                  </c:pt>
                  <c:pt idx="11">
                    <c:v>60.067380824480637</c:v>
                  </c:pt>
                  <c:pt idx="12">
                    <c:v>138.90569817454673</c:v>
                  </c:pt>
                  <c:pt idx="13">
                    <c:v>7.5085025911030217</c:v>
                  </c:pt>
                  <c:pt idx="14">
                    <c:v>97.609436705464887</c:v>
                  </c:pt>
                  <c:pt idx="15">
                    <c:v>131.39710416853814</c:v>
                  </c:pt>
                  <c:pt idx="16">
                    <c:v>67.575609170865036</c:v>
                  </c:pt>
                  <c:pt idx="17">
                    <c:v>33.787758877979719</c:v>
                  </c:pt>
                  <c:pt idx="18">
                    <c:v>142.65990376264523</c:v>
                  </c:pt>
                  <c:pt idx="19">
                    <c:v>82.592614353071085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'5'!$D$25:$W$25</c:f>
              <c:strCache>
                <c:ptCount val="20"/>
                <c:pt idx="0">
                  <c:v>VG</c:v>
                </c:pt>
                <c:pt idx="1">
                  <c:v>VQ</c:v>
                </c:pt>
                <c:pt idx="2">
                  <c:v>VC</c:v>
                </c:pt>
                <c:pt idx="3">
                  <c:v>VP</c:v>
                </c:pt>
                <c:pt idx="4">
                  <c:v>VM</c:v>
                </c:pt>
                <c:pt idx="5">
                  <c:v>IN</c:v>
                </c:pt>
                <c:pt idx="6">
                  <c:v>WT</c:v>
                </c:pt>
                <c:pt idx="7">
                  <c:v>VS</c:v>
                </c:pt>
                <c:pt idx="8">
                  <c:v>VH</c:v>
                </c:pt>
                <c:pt idx="9">
                  <c:v>VW</c:v>
                </c:pt>
                <c:pt idx="10">
                  <c:v>IQ</c:v>
                </c:pt>
                <c:pt idx="11">
                  <c:v>IK</c:v>
                </c:pt>
                <c:pt idx="12">
                  <c:v>ID</c:v>
                </c:pt>
                <c:pt idx="13">
                  <c:v>IE</c:v>
                </c:pt>
                <c:pt idx="14">
                  <c:v>IR</c:v>
                </c:pt>
                <c:pt idx="15">
                  <c:v>ER</c:v>
                </c:pt>
                <c:pt idx="16">
                  <c:v>IH</c:v>
                </c:pt>
                <c:pt idx="17">
                  <c:v>VF</c:v>
                </c:pt>
                <c:pt idx="18">
                  <c:v>Opt</c:v>
                </c:pt>
                <c:pt idx="19">
                  <c:v>QE</c:v>
                </c:pt>
              </c:strCache>
            </c:strRef>
          </c:cat>
          <c:val>
            <c:numRef>
              <c:f>'5'!$D$36:$W$36</c:f>
              <c:numCache>
                <c:formatCode>General</c:formatCode>
                <c:ptCount val="20"/>
                <c:pt idx="0">
                  <c:v>820.27911024428772</c:v>
                </c:pt>
                <c:pt idx="1">
                  <c:v>1327.3123380430347</c:v>
                </c:pt>
                <c:pt idx="2">
                  <c:v>536.23431770781701</c:v>
                </c:pt>
                <c:pt idx="3">
                  <c:v>666.3109049441448</c:v>
                </c:pt>
                <c:pt idx="4">
                  <c:v>897.26321289435953</c:v>
                </c:pt>
                <c:pt idx="5">
                  <c:v>799.04211640978519</c:v>
                </c:pt>
                <c:pt idx="6">
                  <c:v>584.01755383544742</c:v>
                </c:pt>
                <c:pt idx="7">
                  <c:v>621.18229304582701</c:v>
                </c:pt>
                <c:pt idx="8">
                  <c:v>459.25021505774527</c:v>
                </c:pt>
                <c:pt idx="9">
                  <c:v>650.38315956826784</c:v>
                </c:pt>
                <c:pt idx="10">
                  <c:v>605.25454766995006</c:v>
                </c:pt>
                <c:pt idx="11">
                  <c:v>913.19095827023625</c:v>
                </c:pt>
                <c:pt idx="12">
                  <c:v>926.46407941680013</c:v>
                </c:pt>
                <c:pt idx="13">
                  <c:v>451.2863423698069</c:v>
                </c:pt>
                <c:pt idx="14">
                  <c:v>801.69674063909804</c:v>
                </c:pt>
                <c:pt idx="15">
                  <c:v>873.37159483054415</c:v>
                </c:pt>
                <c:pt idx="16">
                  <c:v>292.00888861103817</c:v>
                </c:pt>
                <c:pt idx="17">
                  <c:v>783.11437103390836</c:v>
                </c:pt>
                <c:pt idx="18">
                  <c:v>615.87304458720132</c:v>
                </c:pt>
                <c:pt idx="19">
                  <c:v>1136.1793935325127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7-4DD4-B0E0-70A2BEE86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85983"/>
        <c:axId val="282519711"/>
      </c:barChart>
      <c:catAx>
        <c:axId val="16078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2519711"/>
        <c:crosses val="autoZero"/>
        <c:auto val="1"/>
        <c:lblAlgn val="ctr"/>
        <c:lblOffset val="100"/>
        <c:noMultiLvlLbl val="0"/>
      </c:catAx>
      <c:valAx>
        <c:axId val="28251971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6350"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体积酶活（</a:t>
                </a:r>
                <a:r>
                  <a:rPr lang="en-US" altLang="zh-CN"/>
                  <a:t>U/L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6350"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78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n w="6350">
            <a:solidFill>
              <a:schemeClr val="tx1"/>
            </a:solidFill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双点!$D$35:$Y$35</c:f>
                <c:numCache>
                  <c:formatCode>General</c:formatCode>
                  <c:ptCount val="22"/>
                  <c:pt idx="0">
                    <c:v>37.542055880983931</c:v>
                  </c:pt>
                  <c:pt idx="1">
                    <c:v>22.525233528590373</c:v>
                  </c:pt>
                  <c:pt idx="2">
                    <c:v>7.5084111761970602</c:v>
                  </c:pt>
                  <c:pt idx="3">
                    <c:v>11.262616764295208</c:v>
                  </c:pt>
                  <c:pt idx="4">
                    <c:v>26.279439116688746</c:v>
                  </c:pt>
                  <c:pt idx="5">
                    <c:v>7.5084111761965779</c:v>
                  </c:pt>
                  <c:pt idx="6">
                    <c:v>7.5084111761967991</c:v>
                  </c:pt>
                  <c:pt idx="7">
                    <c:v>26.279439116688746</c:v>
                  </c:pt>
                  <c:pt idx="8">
                    <c:v>0</c:v>
                  </c:pt>
                  <c:pt idx="9">
                    <c:v>15.016822352393698</c:v>
                  </c:pt>
                  <c:pt idx="10">
                    <c:v>75.08411176196806</c:v>
                  </c:pt>
                  <c:pt idx="11">
                    <c:v>82.592522938164848</c:v>
                  </c:pt>
                  <c:pt idx="12">
                    <c:v>3.7542055880981282</c:v>
                  </c:pt>
                  <c:pt idx="13">
                    <c:v>26.279439116688909</c:v>
                  </c:pt>
                  <c:pt idx="14">
                    <c:v>137.04836748722173</c:v>
                  </c:pt>
                  <c:pt idx="15">
                    <c:v>77.874936551003572</c:v>
                  </c:pt>
                  <c:pt idx="16">
                    <c:v>34.890275743359048</c:v>
                  </c:pt>
                  <c:pt idx="17">
                    <c:v>18.771027940492047</c:v>
                  </c:pt>
                  <c:pt idx="18">
                    <c:v>147.72501036342723</c:v>
                  </c:pt>
                  <c:pt idx="19">
                    <c:v>201.52535869868953</c:v>
                  </c:pt>
                  <c:pt idx="20">
                    <c:v>2.721302463330634</c:v>
                  </c:pt>
                  <c:pt idx="21">
                    <c:v>99.158699977712374</c:v>
                  </c:pt>
                </c:numCache>
              </c:numRef>
            </c:plus>
            <c:minus>
              <c:numRef>
                <c:f>双点!$D$35:$Y$35</c:f>
                <c:numCache>
                  <c:formatCode>General</c:formatCode>
                  <c:ptCount val="22"/>
                  <c:pt idx="0">
                    <c:v>37.542055880983931</c:v>
                  </c:pt>
                  <c:pt idx="1">
                    <c:v>22.525233528590373</c:v>
                  </c:pt>
                  <c:pt idx="2">
                    <c:v>7.5084111761970602</c:v>
                  </c:pt>
                  <c:pt idx="3">
                    <c:v>11.262616764295208</c:v>
                  </c:pt>
                  <c:pt idx="4">
                    <c:v>26.279439116688746</c:v>
                  </c:pt>
                  <c:pt idx="5">
                    <c:v>7.5084111761965779</c:v>
                  </c:pt>
                  <c:pt idx="6">
                    <c:v>7.5084111761967991</c:v>
                  </c:pt>
                  <c:pt idx="7">
                    <c:v>26.279439116688746</c:v>
                  </c:pt>
                  <c:pt idx="8">
                    <c:v>0</c:v>
                  </c:pt>
                  <c:pt idx="9">
                    <c:v>15.016822352393698</c:v>
                  </c:pt>
                  <c:pt idx="10">
                    <c:v>75.08411176196806</c:v>
                  </c:pt>
                  <c:pt idx="11">
                    <c:v>82.592522938164848</c:v>
                  </c:pt>
                  <c:pt idx="12">
                    <c:v>3.7542055880981282</c:v>
                  </c:pt>
                  <c:pt idx="13">
                    <c:v>26.279439116688909</c:v>
                  </c:pt>
                  <c:pt idx="14">
                    <c:v>137.04836748722173</c:v>
                  </c:pt>
                  <c:pt idx="15">
                    <c:v>77.874936551003572</c:v>
                  </c:pt>
                  <c:pt idx="16">
                    <c:v>34.890275743359048</c:v>
                  </c:pt>
                  <c:pt idx="17">
                    <c:v>18.771027940492047</c:v>
                  </c:pt>
                  <c:pt idx="18">
                    <c:v>147.72501036342723</c:v>
                  </c:pt>
                  <c:pt idx="19">
                    <c:v>201.52535869868953</c:v>
                  </c:pt>
                  <c:pt idx="20">
                    <c:v>2.721302463330634</c:v>
                  </c:pt>
                  <c:pt idx="21">
                    <c:v>99.158699977712374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双点!$D$23:$Y$23</c:f>
              <c:strCache>
                <c:ptCount val="22"/>
                <c:pt idx="0">
                  <c:v>opt</c:v>
                </c:pt>
                <c:pt idx="1">
                  <c:v>QE/WA</c:v>
                </c:pt>
                <c:pt idx="2">
                  <c:v>QE/IA</c:v>
                </c:pt>
                <c:pt idx="3">
                  <c:v>QE/IP</c:v>
                </c:pt>
                <c:pt idx="4">
                  <c:v>QE/NT</c:v>
                </c:pt>
                <c:pt idx="5">
                  <c:v>QE/VQ</c:v>
                </c:pt>
                <c:pt idx="6">
                  <c:v>QF/EP</c:v>
                </c:pt>
                <c:pt idx="7">
                  <c:v>QE/EP</c:v>
                </c:pt>
                <c:pt idx="8">
                  <c:v>WA/EH</c:v>
                </c:pt>
                <c:pt idx="9">
                  <c:v>WA/IP</c:v>
                </c:pt>
                <c:pt idx="10">
                  <c:v>WA/EP</c:v>
                </c:pt>
                <c:pt idx="11">
                  <c:v>VQ/WA</c:v>
                </c:pt>
                <c:pt idx="12">
                  <c:v>VQ/WS</c:v>
                </c:pt>
                <c:pt idx="13">
                  <c:v>QS/IS</c:v>
                </c:pt>
                <c:pt idx="14">
                  <c:v>QS/VQ</c:v>
                </c:pt>
                <c:pt idx="15">
                  <c:v>EP/VQ</c:v>
                </c:pt>
                <c:pt idx="16">
                  <c:v>EP/NT</c:v>
                </c:pt>
                <c:pt idx="17">
                  <c:v>EP/IA</c:v>
                </c:pt>
                <c:pt idx="18">
                  <c:v>NT/VQ</c:v>
                </c:pt>
                <c:pt idx="19">
                  <c:v>NT/IA</c:v>
                </c:pt>
                <c:pt idx="20">
                  <c:v>VQ/IA</c:v>
                </c:pt>
                <c:pt idx="21">
                  <c:v>QE</c:v>
                </c:pt>
              </c:strCache>
            </c:strRef>
          </c:cat>
          <c:val>
            <c:numRef>
              <c:f>双点!$D$34:$Y$34</c:f>
              <c:numCache>
                <c:formatCode>General</c:formatCode>
                <c:ptCount val="22"/>
                <c:pt idx="0">
                  <c:v>557.4710881556905</c:v>
                </c:pt>
                <c:pt idx="1">
                  <c:v>95.566472255261317</c:v>
                </c:pt>
                <c:pt idx="2">
                  <c:v>1353.8583569495345</c:v>
                </c:pt>
                <c:pt idx="3">
                  <c:v>39.819363439692161</c:v>
                </c:pt>
                <c:pt idx="4">
                  <c:v>1000.7933344509302</c:v>
                </c:pt>
                <c:pt idx="5">
                  <c:v>1162.7254124390115</c:v>
                </c:pt>
                <c:pt idx="6">
                  <c:v>74.329478420758832</c:v>
                </c:pt>
                <c:pt idx="7">
                  <c:v>496.41473088149593</c:v>
                </c:pt>
                <c:pt idx="8">
                  <c:v>53.092484586256205</c:v>
                </c:pt>
                <c:pt idx="9">
                  <c:v>169.89595067602005</c:v>
                </c:pt>
                <c:pt idx="10">
                  <c:v>371.64739210379361</c:v>
                </c:pt>
                <c:pt idx="11">
                  <c:v>1035.3034494319966</c:v>
                </c:pt>
                <c:pt idx="12">
                  <c:v>1085.7413097889403</c:v>
                </c:pt>
                <c:pt idx="13">
                  <c:v>82.293351108697181</c:v>
                </c:pt>
                <c:pt idx="14">
                  <c:v>1221.5274459629165</c:v>
                </c:pt>
                <c:pt idx="15">
                  <c:v>370.47458192840941</c:v>
                </c:pt>
                <c:pt idx="16">
                  <c:v>340.07983678431992</c:v>
                </c:pt>
                <c:pt idx="17">
                  <c:v>389.47129764346516</c:v>
                </c:pt>
                <c:pt idx="18">
                  <c:v>852.99116109083093</c:v>
                </c:pt>
                <c:pt idx="19">
                  <c:v>909.98130823599877</c:v>
                </c:pt>
                <c:pt idx="20">
                  <c:v>359.07655249937568</c:v>
                </c:pt>
                <c:pt idx="21">
                  <c:v>1099.1127503514044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D-44BF-A0B8-957789C97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786047"/>
        <c:axId val="1511784127"/>
      </c:barChart>
      <c:catAx>
        <c:axId val="151178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1784127"/>
        <c:crosses val="autoZero"/>
        <c:auto val="1"/>
        <c:lblAlgn val="ctr"/>
        <c:lblOffset val="100"/>
        <c:noMultiLvlLbl val="0"/>
      </c:catAx>
      <c:valAx>
        <c:axId val="151178412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 w="6350">
                      <a:solidFill>
                        <a:schemeClr val="tx1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体积酶活（</a:t>
                </a:r>
                <a:r>
                  <a:rPr lang="en-US"/>
                  <a:t>U/L</a:t>
                </a:r>
                <a:r>
                  <a:rPr lang="zh-CN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 w="6350">
                    <a:solidFill>
                      <a:schemeClr val="tx1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178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 w="6350">
            <a:solidFill>
              <a:schemeClr val="tx1"/>
            </a:solidFill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标曲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双点!$E$2:$I$2</c:f>
              <c:numCache>
                <c:formatCode>General</c:formatCode>
                <c:ptCount val="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0.05</c:v>
                </c:pt>
              </c:numCache>
            </c:numRef>
          </c:xVal>
          <c:yVal>
            <c:numRef>
              <c:f>双点!$E$3:$I$3</c:f>
              <c:numCache>
                <c:formatCode>General</c:formatCode>
                <c:ptCount val="5"/>
                <c:pt idx="0">
                  <c:v>4.5999999999999999E-2</c:v>
                </c:pt>
                <c:pt idx="1">
                  <c:v>0.154</c:v>
                </c:pt>
                <c:pt idx="2">
                  <c:v>0.26500000000000001</c:v>
                </c:pt>
                <c:pt idx="3">
                  <c:v>0.49099999999999999</c:v>
                </c:pt>
                <c:pt idx="4">
                  <c:v>0.59199999999999997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0C-4DBF-BEBA-EE31F1285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936991"/>
        <c:axId val="1290917311"/>
      </c:scatterChart>
      <c:valAx>
        <c:axId val="129093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乳果糖浓度（</a:t>
                </a:r>
                <a:r>
                  <a:rPr lang="en-US" altLang="zh-CN"/>
                  <a:t>mg/mL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0917311"/>
        <c:crosses val="autoZero"/>
        <c:crossBetween val="midCat"/>
      </c:valAx>
      <c:valAx>
        <c:axId val="129091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OD518nm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093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4342</xdr:colOff>
      <xdr:row>9</xdr:row>
      <xdr:rowOff>75258</xdr:rowOff>
    </xdr:from>
    <xdr:to>
      <xdr:col>30</xdr:col>
      <xdr:colOff>232519</xdr:colOff>
      <xdr:row>34</xdr:row>
      <xdr:rowOff>20225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9BC9A149-2B2A-E7D9-72B2-260449479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14502</xdr:colOff>
      <xdr:row>35</xdr:row>
      <xdr:rowOff>102932</xdr:rowOff>
    </xdr:from>
    <xdr:to>
      <xdr:col>30</xdr:col>
      <xdr:colOff>270619</xdr:colOff>
      <xdr:row>62</xdr:row>
      <xdr:rowOff>42647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6360600E-C9A5-6FCC-F4AB-72674B6A4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352424</xdr:colOff>
      <xdr:row>37</xdr:row>
      <xdr:rowOff>0</xdr:rowOff>
    </xdr:from>
    <xdr:to>
      <xdr:col>17</xdr:col>
      <xdr:colOff>285749</xdr:colOff>
      <xdr:row>54</xdr:row>
      <xdr:rowOff>44450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643AF8-5C71-4FAD-8C90-DABC9316D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742950</xdr:colOff>
      <xdr:row>3</xdr:row>
      <xdr:rowOff>106362</xdr:rowOff>
    </xdr:from>
    <xdr:to>
      <xdr:col>9</xdr:col>
      <xdr:colOff>161925</xdr:colOff>
      <xdr:row>20</xdr:row>
      <xdr:rowOff>103187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8AF5B75-8CE9-0689-2366-9E13F3043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</xdr:colOff>
      <xdr:row>5</xdr:row>
      <xdr:rowOff>66675</xdr:rowOff>
    </xdr:from>
    <xdr:to>
      <xdr:col>11</xdr:col>
      <xdr:colOff>311150</xdr:colOff>
      <xdr:row>22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E162EA1-59DC-4DC6-82CB-1BC86D8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581024</xdr:colOff>
      <xdr:row>65</xdr:row>
      <xdr:rowOff>155575</xdr:rowOff>
    </xdr:from>
    <xdr:to>
      <xdr:col>14</xdr:col>
      <xdr:colOff>371475</xdr:colOff>
      <xdr:row>83</xdr:row>
      <xdr:rowOff>38100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533A435-3F6D-49B7-8678-A752FFE7F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539750</xdr:colOff>
      <xdr:row>5</xdr:row>
      <xdr:rowOff>36512</xdr:rowOff>
    </xdr:from>
    <xdr:to>
      <xdr:col>21</xdr:col>
      <xdr:colOff>234950</xdr:colOff>
      <xdr:row>22</xdr:row>
      <xdr:rowOff>39687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2C4349E-9B7A-E4A1-99E0-B94393FA7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60324</xdr:colOff>
      <xdr:row>45</xdr:row>
      <xdr:rowOff>107950</xdr:rowOff>
    </xdr:from>
    <xdr:to>
      <xdr:col>16</xdr:col>
      <xdr:colOff>412749</xdr:colOff>
      <xdr:row>62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09E9DCA-A9D0-4A79-A068-F1E64A826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825500</xdr:colOff>
      <xdr:row>7</xdr:row>
      <xdr:rowOff>39687</xdr:rowOff>
    </xdr:from>
    <xdr:to>
      <xdr:col>9</xdr:col>
      <xdr:colOff>244475</xdr:colOff>
      <xdr:row>24</xdr:row>
      <xdr:rowOff>36512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462F7FF-D749-C11D-F946-871E54AB6A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5</xdr:row>
      <xdr:rowOff>38100</xdr:rowOff>
    </xdr:from>
    <xdr:to>
      <xdr:col>8</xdr:col>
      <xdr:colOff>444500</xdr:colOff>
      <xdr:row>22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40</xdr:row>
      <xdr:rowOff>57150</xdr:rowOff>
    </xdr:from>
    <xdr:to>
      <xdr:col>15</xdr:col>
      <xdr:colOff>22225</xdr:colOff>
      <xdr:row>57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F220B5F-4883-31CD-7108-8CEF4957F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206375</xdr:colOff>
      <xdr:row>5</xdr:row>
      <xdr:rowOff>6350</xdr:rowOff>
    </xdr:from>
    <xdr:to>
      <xdr:col>10</xdr:col>
      <xdr:colOff>511175</xdr:colOff>
      <xdr:row>22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3C5E9B7-A5FD-4A60-8559-6B4CD3289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60324</xdr:colOff>
      <xdr:row>38</xdr:row>
      <xdr:rowOff>38100</xdr:rowOff>
    </xdr:from>
    <xdr:to>
      <xdr:col>17</xdr:col>
      <xdr:colOff>482599</xdr:colOff>
      <xdr:row>55</xdr:row>
      <xdr:rowOff>82550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648B96A-155A-4B91-B1AB-7415ECB60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339725</xdr:colOff>
      <xdr:row>38</xdr:row>
      <xdr:rowOff>123825</xdr:rowOff>
    </xdr:from>
    <xdr:to>
      <xdr:col>14</xdr:col>
      <xdr:colOff>276225</xdr:colOff>
      <xdr:row>56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3432F75-EF68-4722-BFD2-7E8D4B8E3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301625</xdr:colOff>
      <xdr:row>3</xdr:row>
      <xdr:rowOff>96837</xdr:rowOff>
    </xdr:from>
    <xdr:to>
      <xdr:col>9</xdr:col>
      <xdr:colOff>606425</xdr:colOff>
      <xdr:row>20</xdr:row>
      <xdr:rowOff>93662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0E7B7F7-FBD0-3413-EC34-75A5F8643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FC37-BE4C-AC4C-A5EE-41825F73AA36}">
  <dimension ref="A1:X229"/>
  <sheetViews>
    <sheetView tabSelected="1" topLeftCell="A128" zoomScale="81" workbookViewId="0">
      <selection activeCell="O160" sqref="O160"/>
    </sheetView>
  </sheetViews>
  <sheetFormatPr baseColWidth="10" defaultRowHeight="13"/>
  <cols>
    <col min="1" max="1" width="11" style="31" bestFit="1" customWidth="1"/>
    <col min="2" max="2" width="17.5" bestFit="1" customWidth="1"/>
    <col min="3" max="4" width="12.5" bestFit="1" customWidth="1"/>
    <col min="5" max="12" width="11" bestFit="1" customWidth="1"/>
    <col min="13" max="13" width="11" style="28" bestFit="1" customWidth="1"/>
    <col min="14" max="15" width="11" bestFit="1" customWidth="1"/>
    <col min="16" max="18" width="14" bestFit="1" customWidth="1"/>
  </cols>
  <sheetData>
    <row r="1" spans="1:18" ht="14">
      <c r="A1" s="12" t="s">
        <v>171</v>
      </c>
      <c r="B1" s="12" t="s">
        <v>175</v>
      </c>
      <c r="C1" s="12" t="s">
        <v>176</v>
      </c>
      <c r="D1" s="12" t="s">
        <v>177</v>
      </c>
      <c r="E1" s="32" t="s">
        <v>178</v>
      </c>
      <c r="F1" s="32" t="s">
        <v>179</v>
      </c>
      <c r="G1" s="32" t="s">
        <v>180</v>
      </c>
      <c r="H1" s="32" t="s">
        <v>181</v>
      </c>
      <c r="I1" s="32" t="s">
        <v>182</v>
      </c>
      <c r="J1" s="32" t="s">
        <v>183</v>
      </c>
      <c r="K1" s="32" t="s">
        <v>184</v>
      </c>
      <c r="L1" s="32" t="s">
        <v>185</v>
      </c>
      <c r="M1" s="14" t="s">
        <v>36</v>
      </c>
      <c r="N1" s="14" t="s">
        <v>37</v>
      </c>
      <c r="O1" s="12" t="s">
        <v>170</v>
      </c>
      <c r="P1" s="12" t="s">
        <v>172</v>
      </c>
      <c r="Q1" s="12" t="s">
        <v>173</v>
      </c>
      <c r="R1" s="12" t="s">
        <v>174</v>
      </c>
    </row>
    <row r="2" spans="1:18" ht="14">
      <c r="A2" s="31">
        <v>1</v>
      </c>
      <c r="B2" s="21" t="s">
        <v>115</v>
      </c>
      <c r="C2" s="16">
        <v>0.14499999999999999</v>
      </c>
      <c r="D2" s="16">
        <v>0.154</v>
      </c>
      <c r="E2" s="21">
        <f t="shared" ref="E2:E32" si="0">(C2-0.0434)/10.801*100</f>
        <v>0.94065364318118694</v>
      </c>
      <c r="F2" s="21">
        <f t="shared" ref="F2:F32" si="1">(D2-0.0434)/10.801*100</f>
        <v>1.0239792611795204</v>
      </c>
      <c r="G2" s="21"/>
      <c r="H2" s="21"/>
      <c r="I2" s="21"/>
      <c r="J2" s="21"/>
      <c r="K2" s="21"/>
      <c r="L2" s="21"/>
      <c r="M2" s="14"/>
      <c r="N2" s="14"/>
      <c r="P2">
        <v>10.801</v>
      </c>
      <c r="Q2">
        <v>4.3400000000000001E-2</v>
      </c>
      <c r="R2">
        <v>0.99919999999999998</v>
      </c>
    </row>
    <row r="3" spans="1:18" ht="14">
      <c r="A3" s="31">
        <v>1</v>
      </c>
      <c r="B3" t="s">
        <v>116</v>
      </c>
      <c r="C3" s="16">
        <v>0.32900000000000001</v>
      </c>
      <c r="D3" s="16">
        <v>0.32200000000000001</v>
      </c>
      <c r="E3" s="21">
        <f t="shared" si="0"/>
        <v>2.644199611147116</v>
      </c>
      <c r="F3" s="21">
        <f t="shared" si="1"/>
        <v>2.5793907971484122</v>
      </c>
      <c r="G3">
        <f t="shared" ref="G3:G32" si="2">E3-0.940654</f>
        <v>1.7035456111471161</v>
      </c>
      <c r="H3">
        <f t="shared" ref="H3:H32" si="3">F3-1.023979</f>
        <v>1.5554117971484123</v>
      </c>
      <c r="I3" s="21">
        <f t="shared" ref="I3:I32" si="4">G3/342.3*1000000</f>
        <v>4976.7619373272446</v>
      </c>
      <c r="J3" s="21">
        <f t="shared" ref="J3:J32" si="5">H3/342.3*1000000</f>
        <v>4544.00174451771</v>
      </c>
      <c r="K3" s="21">
        <f t="shared" ref="K3:K32" si="6">(I3*0.004)/(2*10)*1000</f>
        <v>995.35238746544894</v>
      </c>
      <c r="L3" s="21">
        <f t="shared" ref="L3:L32" si="7">(J3*0.004)/(2*10)*1000</f>
        <v>908.80034890354216</v>
      </c>
      <c r="M3" s="14">
        <f t="shared" ref="M3:M32" si="8">AVERAGE(K3:L3)</f>
        <v>952.07636818449555</v>
      </c>
      <c r="N3" s="14">
        <f t="shared" ref="N3:N32" si="9">STDEV(K3:L3)</f>
        <v>61.201533392643846</v>
      </c>
      <c r="O3" s="30">
        <f>N3/M3</f>
        <v>6.4282168361502773E-2</v>
      </c>
      <c r="P3">
        <v>10.801</v>
      </c>
      <c r="Q3">
        <v>4.3400000000000001E-2</v>
      </c>
      <c r="R3">
        <v>0.99919999999999998</v>
      </c>
    </row>
    <row r="4" spans="1:18" ht="14">
      <c r="A4" s="31">
        <v>1</v>
      </c>
      <c r="B4" t="s">
        <v>117</v>
      </c>
      <c r="C4" s="16">
        <v>0.29899999999999999</v>
      </c>
      <c r="D4" s="16">
        <v>0.30399999999999999</v>
      </c>
      <c r="E4" s="21">
        <f t="shared" si="0"/>
        <v>2.366447551152671</v>
      </c>
      <c r="F4" s="21">
        <f t="shared" si="1"/>
        <v>2.4127395611517453</v>
      </c>
      <c r="G4">
        <f t="shared" si="2"/>
        <v>1.4257935511526711</v>
      </c>
      <c r="H4">
        <f t="shared" si="3"/>
        <v>1.3887605611517453</v>
      </c>
      <c r="I4" s="21">
        <f t="shared" si="4"/>
        <v>4165.3331906300646</v>
      </c>
      <c r="J4" s="21">
        <f t="shared" si="5"/>
        <v>4057.1444964994021</v>
      </c>
      <c r="K4" s="21">
        <f t="shared" si="6"/>
        <v>833.066638126013</v>
      </c>
      <c r="L4" s="21">
        <f t="shared" si="7"/>
        <v>811.42889929988053</v>
      </c>
      <c r="M4" s="14">
        <f t="shared" si="8"/>
        <v>822.24776871294671</v>
      </c>
      <c r="N4" s="14">
        <f t="shared" si="9"/>
        <v>15.300191853501721</v>
      </c>
      <c r="O4" s="30">
        <f t="shared" ref="O4:O67" si="10">N4/M4</f>
        <v>1.8607763299194967E-2</v>
      </c>
      <c r="P4">
        <v>10.801</v>
      </c>
      <c r="Q4">
        <v>4.3400000000000001E-2</v>
      </c>
      <c r="R4">
        <v>0.99919999999999998</v>
      </c>
    </row>
    <row r="5" spans="1:18" ht="14">
      <c r="A5" s="31">
        <v>1</v>
      </c>
      <c r="B5" t="s">
        <v>118</v>
      </c>
      <c r="C5" s="16">
        <v>0.23400000000000001</v>
      </c>
      <c r="D5" s="16">
        <v>0.248</v>
      </c>
      <c r="E5" s="21">
        <f t="shared" si="0"/>
        <v>1.7646514211647071</v>
      </c>
      <c r="F5" s="21">
        <f t="shared" si="1"/>
        <v>1.8942690491621144</v>
      </c>
      <c r="G5">
        <f t="shared" si="2"/>
        <v>0.82399742116470709</v>
      </c>
      <c r="H5">
        <f t="shared" si="3"/>
        <v>0.87029004916211439</v>
      </c>
      <c r="I5" s="21">
        <f t="shared" si="4"/>
        <v>2407.2375727861731</v>
      </c>
      <c r="J5" s="21">
        <f t="shared" si="5"/>
        <v>2542.4775026646639</v>
      </c>
      <c r="K5" s="21">
        <f t="shared" si="6"/>
        <v>481.44751455723463</v>
      </c>
      <c r="L5" s="21">
        <f t="shared" si="7"/>
        <v>508.49550053293279</v>
      </c>
      <c r="M5" s="14">
        <f t="shared" si="8"/>
        <v>494.97150754508368</v>
      </c>
      <c r="N5" s="14">
        <f t="shared" si="9"/>
        <v>19.12581430085481</v>
      </c>
      <c r="O5" s="30">
        <f t="shared" si="10"/>
        <v>3.8640232840296905E-2</v>
      </c>
      <c r="P5">
        <v>10.801</v>
      </c>
      <c r="Q5">
        <v>4.3400000000000001E-2</v>
      </c>
      <c r="R5">
        <v>0.99919999999999998</v>
      </c>
    </row>
    <row r="6" spans="1:18" ht="14">
      <c r="A6" s="31">
        <v>1</v>
      </c>
      <c r="B6" t="s">
        <v>119</v>
      </c>
      <c r="C6" s="16">
        <v>0.45700000000000002</v>
      </c>
      <c r="D6" s="16">
        <v>0.45300000000000001</v>
      </c>
      <c r="E6" s="21">
        <f t="shared" si="0"/>
        <v>3.8292750671234144</v>
      </c>
      <c r="F6" s="21">
        <f t="shared" si="1"/>
        <v>3.7922414591241549</v>
      </c>
      <c r="G6">
        <f t="shared" si="2"/>
        <v>2.8886210671234145</v>
      </c>
      <c r="H6">
        <f t="shared" si="3"/>
        <v>2.7682624591241547</v>
      </c>
      <c r="I6" s="21">
        <f t="shared" si="4"/>
        <v>8438.8579232352167</v>
      </c>
      <c r="J6" s="21">
        <f t="shared" si="5"/>
        <v>8087.2406050953978</v>
      </c>
      <c r="K6" s="21">
        <f t="shared" si="6"/>
        <v>1687.7715846470433</v>
      </c>
      <c r="L6" s="21">
        <f t="shared" si="7"/>
        <v>1617.4481210190795</v>
      </c>
      <c r="M6" s="14">
        <f t="shared" si="8"/>
        <v>1652.6098528330613</v>
      </c>
      <c r="N6" s="14">
        <f t="shared" si="9"/>
        <v>49.726198007858692</v>
      </c>
      <c r="O6" s="30">
        <f t="shared" si="10"/>
        <v>3.0089496273190738E-2</v>
      </c>
      <c r="P6">
        <v>10.801</v>
      </c>
      <c r="Q6">
        <v>4.3400000000000001E-2</v>
      </c>
      <c r="R6">
        <v>0.99919999999999998</v>
      </c>
    </row>
    <row r="7" spans="1:18" ht="14">
      <c r="A7" s="31">
        <v>1</v>
      </c>
      <c r="B7" t="s">
        <v>120</v>
      </c>
      <c r="C7" s="16">
        <v>0.252</v>
      </c>
      <c r="D7" s="16">
        <v>0.27100000000000002</v>
      </c>
      <c r="E7" s="21">
        <f t="shared" si="0"/>
        <v>1.9313026571613738</v>
      </c>
      <c r="F7" s="21">
        <f t="shared" si="1"/>
        <v>2.107212295157856</v>
      </c>
      <c r="G7">
        <f t="shared" si="2"/>
        <v>0.99064865716137385</v>
      </c>
      <c r="H7">
        <f t="shared" si="3"/>
        <v>1.083233295157856</v>
      </c>
      <c r="I7" s="21">
        <f t="shared" si="4"/>
        <v>2894.0948208044811</v>
      </c>
      <c r="J7" s="21">
        <f t="shared" si="5"/>
        <v>3164.5728751325037</v>
      </c>
      <c r="K7" s="21">
        <f t="shared" si="6"/>
        <v>578.81896416089626</v>
      </c>
      <c r="L7" s="21">
        <f t="shared" si="7"/>
        <v>632.91457502650076</v>
      </c>
      <c r="M7" s="14">
        <f t="shared" si="8"/>
        <v>605.86676959369856</v>
      </c>
      <c r="N7" s="14">
        <f t="shared" si="9"/>
        <v>38.25137327549762</v>
      </c>
      <c r="O7" s="30">
        <f t="shared" si="10"/>
        <v>6.3134958369064284E-2</v>
      </c>
      <c r="P7">
        <v>10.801</v>
      </c>
      <c r="Q7">
        <v>4.3400000000000001E-2</v>
      </c>
      <c r="R7">
        <v>0.99919999999999998</v>
      </c>
    </row>
    <row r="8" spans="1:18" ht="14">
      <c r="A8" s="31">
        <v>1</v>
      </c>
      <c r="B8" t="s">
        <v>121</v>
      </c>
      <c r="C8" s="16">
        <v>0.27200000000000002</v>
      </c>
      <c r="D8" s="16">
        <v>0.29699999999999999</v>
      </c>
      <c r="E8" s="21">
        <f t="shared" si="0"/>
        <v>2.1164706971576708</v>
      </c>
      <c r="F8" s="21">
        <f t="shared" si="1"/>
        <v>2.3479307471530415</v>
      </c>
      <c r="G8">
        <f t="shared" si="2"/>
        <v>1.1758166971576709</v>
      </c>
      <c r="H8">
        <f t="shared" si="3"/>
        <v>1.3239517471530415</v>
      </c>
      <c r="I8" s="21">
        <f t="shared" si="4"/>
        <v>3435.0473186026029</v>
      </c>
      <c r="J8" s="21">
        <f t="shared" si="5"/>
        <v>3867.81112227006</v>
      </c>
      <c r="K8" s="21">
        <f t="shared" si="6"/>
        <v>687.00946372052067</v>
      </c>
      <c r="L8" s="21">
        <f t="shared" si="7"/>
        <v>773.56222445401204</v>
      </c>
      <c r="M8" s="14">
        <f t="shared" si="8"/>
        <v>730.28584408726636</v>
      </c>
      <c r="N8" s="14">
        <f t="shared" si="9"/>
        <v>61.202044045068483</v>
      </c>
      <c r="O8" s="30">
        <f t="shared" si="10"/>
        <v>8.3805600971987443E-2</v>
      </c>
      <c r="P8">
        <v>10.801</v>
      </c>
      <c r="Q8">
        <v>4.3400000000000001E-2</v>
      </c>
      <c r="R8">
        <v>0.99919999999999998</v>
      </c>
    </row>
    <row r="9" spans="1:18" ht="14">
      <c r="A9" s="31">
        <v>1</v>
      </c>
      <c r="B9" t="s">
        <v>122</v>
      </c>
      <c r="C9" s="16">
        <v>0.34300000000000003</v>
      </c>
      <c r="D9" s="16">
        <v>0.32600000000000001</v>
      </c>
      <c r="E9" s="21">
        <f t="shared" si="0"/>
        <v>2.7738172391445239</v>
      </c>
      <c r="F9" s="21">
        <f t="shared" si="1"/>
        <v>2.6164244051476713</v>
      </c>
      <c r="G9">
        <f t="shared" si="2"/>
        <v>1.8331632391445241</v>
      </c>
      <c r="H9">
        <f t="shared" si="3"/>
        <v>1.5924454051476713</v>
      </c>
      <c r="I9" s="21">
        <f t="shared" si="4"/>
        <v>5355.4286857859306</v>
      </c>
      <c r="J9" s="21">
        <f t="shared" si="5"/>
        <v>4652.1922440773333</v>
      </c>
      <c r="K9" s="21">
        <f t="shared" si="6"/>
        <v>1071.0857371571863</v>
      </c>
      <c r="L9" s="21">
        <f t="shared" si="7"/>
        <v>930.43844881546681</v>
      </c>
      <c r="M9" s="14">
        <f t="shared" si="8"/>
        <v>1000.7620929863265</v>
      </c>
      <c r="N9" s="14">
        <f t="shared" si="9"/>
        <v>99.452651341929467</v>
      </c>
      <c r="O9" s="30">
        <f t="shared" si="10"/>
        <v>9.9376916890564423E-2</v>
      </c>
      <c r="P9">
        <v>10.801</v>
      </c>
      <c r="Q9">
        <v>4.3400000000000001E-2</v>
      </c>
      <c r="R9">
        <v>0.99919999999999998</v>
      </c>
    </row>
    <row r="10" spans="1:18" ht="14">
      <c r="A10" s="31">
        <v>1</v>
      </c>
      <c r="B10" t="s">
        <v>123</v>
      </c>
      <c r="C10" s="16">
        <v>0.33200000000000002</v>
      </c>
      <c r="D10" s="16">
        <v>0.307</v>
      </c>
      <c r="E10" s="21">
        <f t="shared" si="0"/>
        <v>2.6719748171465607</v>
      </c>
      <c r="F10" s="21">
        <f t="shared" si="1"/>
        <v>2.4405147671511895</v>
      </c>
      <c r="G10">
        <f t="shared" si="2"/>
        <v>1.7313208171465608</v>
      </c>
      <c r="H10">
        <f t="shared" si="3"/>
        <v>1.4165357671511896</v>
      </c>
      <c r="I10" s="21">
        <f t="shared" si="4"/>
        <v>5057.9048119969639</v>
      </c>
      <c r="J10" s="21">
        <f t="shared" si="5"/>
        <v>4138.2873711691191</v>
      </c>
      <c r="K10" s="21">
        <f t="shared" si="6"/>
        <v>1011.5809623993928</v>
      </c>
      <c r="L10" s="21">
        <f t="shared" si="7"/>
        <v>827.6574742338239</v>
      </c>
      <c r="M10" s="14">
        <f t="shared" si="8"/>
        <v>919.61921831660834</v>
      </c>
      <c r="N10" s="14">
        <f t="shared" si="9"/>
        <v>130.05354570135748</v>
      </c>
      <c r="O10" s="30">
        <f t="shared" si="10"/>
        <v>0.141421082890617</v>
      </c>
      <c r="P10">
        <v>10.801</v>
      </c>
      <c r="Q10">
        <v>4.3400000000000001E-2</v>
      </c>
      <c r="R10">
        <v>0.99919999999999998</v>
      </c>
    </row>
    <row r="11" spans="1:18" ht="14">
      <c r="A11" s="31">
        <v>1</v>
      </c>
      <c r="B11" t="s">
        <v>124</v>
      </c>
      <c r="C11" s="16">
        <v>0.30399999999999999</v>
      </c>
      <c r="D11" s="16">
        <v>0.247</v>
      </c>
      <c r="E11" s="21">
        <f t="shared" si="0"/>
        <v>2.4127395611517453</v>
      </c>
      <c r="F11" s="21">
        <f t="shared" si="1"/>
        <v>1.8850106471623</v>
      </c>
      <c r="G11">
        <f t="shared" si="2"/>
        <v>1.4720855611517454</v>
      </c>
      <c r="H11">
        <f t="shared" si="3"/>
        <v>0.86103164716230007</v>
      </c>
      <c r="I11" s="21">
        <f t="shared" si="4"/>
        <v>4300.5713150795946</v>
      </c>
      <c r="J11" s="21">
        <f t="shared" si="5"/>
        <v>2515.429877774759</v>
      </c>
      <c r="K11" s="21">
        <f t="shared" si="6"/>
        <v>860.11426301591894</v>
      </c>
      <c r="L11" s="21">
        <f t="shared" si="7"/>
        <v>503.0859755549518</v>
      </c>
      <c r="M11" s="14">
        <f t="shared" si="8"/>
        <v>681.60011928543531</v>
      </c>
      <c r="N11" s="14">
        <f t="shared" si="9"/>
        <v>252.45712313907018</v>
      </c>
      <c r="O11" s="30">
        <f t="shared" si="10"/>
        <v>0.37038890692058124</v>
      </c>
      <c r="P11">
        <v>10.801</v>
      </c>
      <c r="Q11">
        <v>4.3400000000000001E-2</v>
      </c>
      <c r="R11">
        <v>0.99919999999999998</v>
      </c>
    </row>
    <row r="12" spans="1:18" ht="14">
      <c r="A12" s="31">
        <v>1</v>
      </c>
      <c r="B12" t="s">
        <v>142</v>
      </c>
      <c r="C12" s="16">
        <v>0.28699999999999998</v>
      </c>
      <c r="D12" s="16">
        <v>0.30399999999999999</v>
      </c>
      <c r="E12" s="24">
        <f t="shared" si="0"/>
        <v>2.255346727154893</v>
      </c>
      <c r="F12" s="24">
        <f t="shared" si="1"/>
        <v>2.4127395611517453</v>
      </c>
      <c r="G12">
        <f t="shared" si="2"/>
        <v>1.3146927271548932</v>
      </c>
      <c r="H12">
        <f t="shared" si="3"/>
        <v>1.3887605611517453</v>
      </c>
      <c r="I12" s="24">
        <f t="shared" si="4"/>
        <v>3840.7616919511925</v>
      </c>
      <c r="J12" s="24">
        <f t="shared" si="5"/>
        <v>4057.1444964994021</v>
      </c>
      <c r="K12" s="24">
        <f t="shared" si="6"/>
        <v>768.15233839023847</v>
      </c>
      <c r="L12" s="24">
        <f t="shared" si="7"/>
        <v>811.42889929988053</v>
      </c>
      <c r="M12" s="25">
        <f t="shared" si="8"/>
        <v>789.7906188450595</v>
      </c>
      <c r="N12" s="25">
        <f t="shared" si="9"/>
        <v>30.601149685640564</v>
      </c>
      <c r="O12" s="30">
        <f t="shared" si="10"/>
        <v>3.8745901705428937E-2</v>
      </c>
      <c r="P12">
        <v>10.801</v>
      </c>
      <c r="Q12">
        <v>4.3400000000000001E-2</v>
      </c>
      <c r="R12">
        <v>0.99919999999999998</v>
      </c>
    </row>
    <row r="13" spans="1:18" ht="14">
      <c r="A13" s="31">
        <v>1</v>
      </c>
      <c r="B13" t="s">
        <v>125</v>
      </c>
      <c r="C13" s="16">
        <v>0.28000000000000003</v>
      </c>
      <c r="D13" s="16">
        <v>0.29099999999999998</v>
      </c>
      <c r="E13" s="21">
        <f t="shared" si="0"/>
        <v>2.1905379131561897</v>
      </c>
      <c r="F13" s="21">
        <f t="shared" si="1"/>
        <v>2.2923803351541521</v>
      </c>
      <c r="G13">
        <f t="shared" si="2"/>
        <v>1.2498839131561899</v>
      </c>
      <c r="H13">
        <f t="shared" si="3"/>
        <v>1.2684013351541521</v>
      </c>
      <c r="I13" s="21">
        <f t="shared" si="4"/>
        <v>3651.4283177218517</v>
      </c>
      <c r="J13" s="21">
        <f t="shared" si="5"/>
        <v>3705.5253729306223</v>
      </c>
      <c r="K13" s="21">
        <f t="shared" si="6"/>
        <v>730.28566354437032</v>
      </c>
      <c r="L13" s="21">
        <f t="shared" si="7"/>
        <v>741.10507458612449</v>
      </c>
      <c r="M13" s="14">
        <f t="shared" si="8"/>
        <v>735.69536906524741</v>
      </c>
      <c r="N13" s="14">
        <f t="shared" si="9"/>
        <v>7.6504789160689786</v>
      </c>
      <c r="O13" s="30">
        <f t="shared" si="10"/>
        <v>1.0398976584274886E-2</v>
      </c>
      <c r="P13">
        <v>10.801</v>
      </c>
      <c r="Q13">
        <v>4.3400000000000001E-2</v>
      </c>
      <c r="R13">
        <v>0.99919999999999998</v>
      </c>
    </row>
    <row r="14" spans="1:18" ht="14">
      <c r="A14" s="31">
        <v>1</v>
      </c>
      <c r="B14" t="s">
        <v>126</v>
      </c>
      <c r="C14" s="16">
        <v>0.307</v>
      </c>
      <c r="D14" s="16">
        <v>0.32700000000000001</v>
      </c>
      <c r="E14" s="21">
        <f t="shared" si="0"/>
        <v>2.4405147671511895</v>
      </c>
      <c r="F14" s="21">
        <f t="shared" si="1"/>
        <v>2.6256828071474865</v>
      </c>
      <c r="G14">
        <f t="shared" si="2"/>
        <v>1.4998607671511897</v>
      </c>
      <c r="H14">
        <f t="shared" si="3"/>
        <v>1.6017038071474865</v>
      </c>
      <c r="I14" s="21">
        <f t="shared" si="4"/>
        <v>4381.7141897493129</v>
      </c>
      <c r="J14" s="21">
        <f t="shared" si="5"/>
        <v>4679.23986896724</v>
      </c>
      <c r="K14" s="21">
        <f t="shared" si="6"/>
        <v>876.34283794986254</v>
      </c>
      <c r="L14" s="21">
        <f t="shared" si="7"/>
        <v>935.84797379344809</v>
      </c>
      <c r="M14" s="14">
        <f t="shared" si="8"/>
        <v>906.09540587165532</v>
      </c>
      <c r="N14" s="14">
        <f t="shared" si="9"/>
        <v>42.076485070426031</v>
      </c>
      <c r="O14" s="30">
        <f t="shared" si="10"/>
        <v>4.6437146461358388E-2</v>
      </c>
      <c r="P14">
        <v>10.801</v>
      </c>
      <c r="Q14">
        <v>4.3400000000000001E-2</v>
      </c>
      <c r="R14">
        <v>0.99919999999999998</v>
      </c>
    </row>
    <row r="15" spans="1:18" ht="14">
      <c r="A15" s="31">
        <v>1</v>
      </c>
      <c r="B15" t="s">
        <v>127</v>
      </c>
      <c r="C15" s="16">
        <v>0.314</v>
      </c>
      <c r="D15" s="16">
        <v>0.33400000000000002</v>
      </c>
      <c r="E15" s="21">
        <f t="shared" si="0"/>
        <v>2.5053235811498933</v>
      </c>
      <c r="F15" s="21">
        <f t="shared" si="1"/>
        <v>2.6904916211461902</v>
      </c>
      <c r="G15">
        <f t="shared" si="2"/>
        <v>1.5646695811498934</v>
      </c>
      <c r="H15">
        <f t="shared" si="3"/>
        <v>1.6665126211461903</v>
      </c>
      <c r="I15" s="21">
        <f t="shared" si="4"/>
        <v>4571.0475639786546</v>
      </c>
      <c r="J15" s="21">
        <f t="shared" si="5"/>
        <v>4868.5732431965826</v>
      </c>
      <c r="K15" s="21">
        <f t="shared" si="6"/>
        <v>914.20951279573103</v>
      </c>
      <c r="L15" s="21">
        <f t="shared" si="7"/>
        <v>973.71464863931647</v>
      </c>
      <c r="M15" s="14">
        <f t="shared" si="8"/>
        <v>943.9620807175238</v>
      </c>
      <c r="N15" s="14">
        <f t="shared" si="9"/>
        <v>42.076485070425953</v>
      </c>
      <c r="O15" s="30">
        <f t="shared" si="10"/>
        <v>4.4574338238716968E-2</v>
      </c>
      <c r="P15">
        <v>10.801</v>
      </c>
      <c r="Q15">
        <v>4.3400000000000001E-2</v>
      </c>
      <c r="R15">
        <v>0.99919999999999998</v>
      </c>
    </row>
    <row r="16" spans="1:18" ht="14">
      <c r="A16" s="31">
        <v>1</v>
      </c>
      <c r="B16" t="s">
        <v>128</v>
      </c>
      <c r="C16" s="16">
        <v>0.29599999999999999</v>
      </c>
      <c r="D16" s="16">
        <v>0.316</v>
      </c>
      <c r="E16" s="21">
        <f t="shared" si="0"/>
        <v>2.3386723451532263</v>
      </c>
      <c r="F16" s="21">
        <f t="shared" si="1"/>
        <v>2.5238403851495232</v>
      </c>
      <c r="G16">
        <f t="shared" si="2"/>
        <v>1.3980183451532264</v>
      </c>
      <c r="H16">
        <f t="shared" si="3"/>
        <v>1.4998613851495233</v>
      </c>
      <c r="I16" s="21">
        <f t="shared" si="4"/>
        <v>4084.1903159603462</v>
      </c>
      <c r="J16" s="21">
        <f t="shared" si="5"/>
        <v>4381.7159951782742</v>
      </c>
      <c r="K16" s="21">
        <f t="shared" si="6"/>
        <v>816.83806319206928</v>
      </c>
      <c r="L16" s="21">
        <f t="shared" si="7"/>
        <v>876.34319903565495</v>
      </c>
      <c r="M16" s="14">
        <f t="shared" si="8"/>
        <v>846.59063111386217</v>
      </c>
      <c r="N16" s="14">
        <f t="shared" si="9"/>
        <v>42.076485070426116</v>
      </c>
      <c r="O16" s="30">
        <f t="shared" si="10"/>
        <v>4.9701099355500711E-2</v>
      </c>
      <c r="P16">
        <v>10.801</v>
      </c>
      <c r="Q16">
        <v>4.3400000000000001E-2</v>
      </c>
      <c r="R16">
        <v>0.99919999999999998</v>
      </c>
    </row>
    <row r="17" spans="1:18" ht="14">
      <c r="A17" s="31">
        <v>1</v>
      </c>
      <c r="B17" t="s">
        <v>129</v>
      </c>
      <c r="C17" s="16">
        <v>0.29399999999999998</v>
      </c>
      <c r="D17" s="16">
        <v>0.30399999999999999</v>
      </c>
      <c r="E17" s="21">
        <f t="shared" si="0"/>
        <v>2.3201555411535968</v>
      </c>
      <c r="F17" s="21">
        <f t="shared" si="1"/>
        <v>2.4127395611517453</v>
      </c>
      <c r="G17">
        <f t="shared" si="2"/>
        <v>1.3795015411535969</v>
      </c>
      <c r="H17">
        <f t="shared" si="3"/>
        <v>1.3887605611517453</v>
      </c>
      <c r="I17" s="21">
        <f t="shared" si="4"/>
        <v>4030.0950661805341</v>
      </c>
      <c r="J17" s="21">
        <f t="shared" si="5"/>
        <v>4057.1444964994021</v>
      </c>
      <c r="K17" s="21">
        <f t="shared" si="6"/>
        <v>806.01901323610684</v>
      </c>
      <c r="L17" s="21">
        <f t="shared" si="7"/>
        <v>811.42889929988053</v>
      </c>
      <c r="M17" s="14">
        <f t="shared" si="8"/>
        <v>808.72395626799369</v>
      </c>
      <c r="N17" s="14">
        <f t="shared" si="9"/>
        <v>3.825367121140971</v>
      </c>
      <c r="O17" s="30">
        <f t="shared" si="10"/>
        <v>4.7301271237145436E-3</v>
      </c>
      <c r="P17">
        <v>10.801</v>
      </c>
      <c r="Q17">
        <v>4.3400000000000001E-2</v>
      </c>
      <c r="R17">
        <v>0.99919999999999998</v>
      </c>
    </row>
    <row r="18" spans="1:18" ht="14">
      <c r="A18" s="31">
        <v>1</v>
      </c>
      <c r="B18" t="s">
        <v>130</v>
      </c>
      <c r="C18" s="16">
        <v>0.27900000000000003</v>
      </c>
      <c r="D18" s="16">
        <v>0.28499999999999998</v>
      </c>
      <c r="E18" s="21">
        <f t="shared" si="0"/>
        <v>2.1812795111563745</v>
      </c>
      <c r="F18" s="21">
        <f t="shared" si="1"/>
        <v>2.2368299231552631</v>
      </c>
      <c r="G18">
        <f t="shared" si="2"/>
        <v>1.2406255111563746</v>
      </c>
      <c r="H18">
        <f t="shared" si="3"/>
        <v>1.2128509231552631</v>
      </c>
      <c r="I18" s="21">
        <f t="shared" si="4"/>
        <v>3624.3806928319445</v>
      </c>
      <c r="J18" s="21">
        <f t="shared" si="5"/>
        <v>3543.239623591186</v>
      </c>
      <c r="K18" s="21">
        <f t="shared" si="6"/>
        <v>724.87613856638893</v>
      </c>
      <c r="L18" s="21">
        <f t="shared" si="7"/>
        <v>708.64792471823728</v>
      </c>
      <c r="M18" s="14">
        <f t="shared" si="8"/>
        <v>716.7620316423131</v>
      </c>
      <c r="N18" s="14">
        <f t="shared" si="9"/>
        <v>11.475080058573472</v>
      </c>
      <c r="O18" s="30">
        <f t="shared" si="10"/>
        <v>1.6009609259408846E-2</v>
      </c>
      <c r="P18">
        <v>10.801</v>
      </c>
      <c r="Q18">
        <v>4.3400000000000001E-2</v>
      </c>
      <c r="R18">
        <v>0.99919999999999998</v>
      </c>
    </row>
    <row r="19" spans="1:18" ht="14">
      <c r="A19" s="31">
        <v>1</v>
      </c>
      <c r="B19" t="s">
        <v>15</v>
      </c>
      <c r="C19" s="38">
        <v>0.35899999999999999</v>
      </c>
      <c r="D19" s="38">
        <v>0.375</v>
      </c>
      <c r="E19" s="21">
        <f t="shared" si="0"/>
        <v>2.921951671141561</v>
      </c>
      <c r="F19" s="21">
        <f t="shared" si="1"/>
        <v>3.0700861031385984</v>
      </c>
      <c r="G19">
        <f t="shared" si="2"/>
        <v>1.9812976711415611</v>
      </c>
      <c r="H19">
        <f t="shared" si="3"/>
        <v>2.0461071031385982</v>
      </c>
      <c r="I19" s="21">
        <f t="shared" si="4"/>
        <v>5788.1906840244264</v>
      </c>
      <c r="J19" s="21">
        <f t="shared" si="5"/>
        <v>5977.5258636827284</v>
      </c>
      <c r="K19" s="21">
        <f t="shared" si="6"/>
        <v>1157.6381368048853</v>
      </c>
      <c r="L19" s="21">
        <f t="shared" si="7"/>
        <v>1195.5051727365458</v>
      </c>
      <c r="M19" s="14">
        <f t="shared" si="8"/>
        <v>1176.5716547707157</v>
      </c>
      <c r="N19" s="14">
        <f t="shared" si="9"/>
        <v>26.776037890711752</v>
      </c>
      <c r="O19" s="30">
        <f t="shared" si="10"/>
        <v>2.2757677173456749E-2</v>
      </c>
      <c r="P19">
        <v>10.801</v>
      </c>
      <c r="Q19">
        <v>4.3400000000000001E-2</v>
      </c>
      <c r="R19">
        <v>0.99919999999999998</v>
      </c>
    </row>
    <row r="20" spans="1:18" ht="14">
      <c r="A20" s="31">
        <v>1</v>
      </c>
      <c r="B20" t="s">
        <v>1</v>
      </c>
      <c r="C20" s="16">
        <v>0.21</v>
      </c>
      <c r="D20" s="16">
        <v>0.23899999999999999</v>
      </c>
      <c r="E20" s="21">
        <f t="shared" si="0"/>
        <v>1.5424497731691511</v>
      </c>
      <c r="F20" s="21">
        <f t="shared" si="1"/>
        <v>1.8109434311637811</v>
      </c>
      <c r="G20">
        <f t="shared" si="2"/>
        <v>0.60179577316915112</v>
      </c>
      <c r="H20">
        <f t="shared" si="3"/>
        <v>0.78696443116378112</v>
      </c>
      <c r="I20" s="21">
        <f t="shared" si="4"/>
        <v>1758.0945754284287</v>
      </c>
      <c r="J20" s="21">
        <f t="shared" si="5"/>
        <v>2299.0488786555102</v>
      </c>
      <c r="K20" s="21">
        <f t="shared" si="6"/>
        <v>351.61891508568579</v>
      </c>
      <c r="L20" s="21">
        <f t="shared" si="7"/>
        <v>459.80977573110204</v>
      </c>
      <c r="M20" s="14">
        <f t="shared" si="8"/>
        <v>405.71434540839391</v>
      </c>
      <c r="N20" s="14">
        <f t="shared" si="9"/>
        <v>76.502491224782489</v>
      </c>
      <c r="O20" s="30">
        <f t="shared" si="10"/>
        <v>0.18856245062711482</v>
      </c>
      <c r="P20">
        <v>10.801</v>
      </c>
      <c r="Q20">
        <v>4.3400000000000001E-2</v>
      </c>
      <c r="R20">
        <v>0.99919999999999998</v>
      </c>
    </row>
    <row r="21" spans="1:18" ht="14">
      <c r="A21" s="31">
        <v>1</v>
      </c>
      <c r="B21" t="s">
        <v>131</v>
      </c>
      <c r="C21" s="16">
        <v>0.28399999999999997</v>
      </c>
      <c r="D21" s="16">
        <v>0.30599999999999999</v>
      </c>
      <c r="E21" s="21">
        <f t="shared" si="0"/>
        <v>2.2275715211554483</v>
      </c>
      <c r="F21" s="21">
        <f t="shared" si="1"/>
        <v>2.4312563651513748</v>
      </c>
      <c r="G21">
        <f t="shared" si="2"/>
        <v>1.2869175211554484</v>
      </c>
      <c r="H21">
        <f t="shared" si="3"/>
        <v>1.4072773651513748</v>
      </c>
      <c r="I21" s="21">
        <f t="shared" si="4"/>
        <v>3759.6188172814736</v>
      </c>
      <c r="J21" s="21">
        <f t="shared" si="5"/>
        <v>4111.2397462792142</v>
      </c>
      <c r="K21" s="21">
        <f t="shared" si="6"/>
        <v>751.92376345629475</v>
      </c>
      <c r="L21" s="21">
        <f t="shared" si="7"/>
        <v>822.24794925584274</v>
      </c>
      <c r="M21" s="14">
        <f t="shared" si="8"/>
        <v>787.08585635606869</v>
      </c>
      <c r="N21" s="14">
        <f t="shared" si="9"/>
        <v>49.726708660283094</v>
      </c>
      <c r="O21" s="30">
        <f t="shared" si="10"/>
        <v>6.3178252103906818E-2</v>
      </c>
      <c r="P21">
        <v>10.801</v>
      </c>
      <c r="Q21">
        <v>4.3400000000000001E-2</v>
      </c>
      <c r="R21">
        <v>0.99919999999999998</v>
      </c>
    </row>
    <row r="22" spans="1:18" ht="14">
      <c r="A22" s="31">
        <v>1</v>
      </c>
      <c r="B22" t="s">
        <v>132</v>
      </c>
      <c r="C22" s="16">
        <v>0.318</v>
      </c>
      <c r="D22" s="16">
        <v>0.32700000000000001</v>
      </c>
      <c r="E22" s="21">
        <f t="shared" si="0"/>
        <v>2.5423571891491528</v>
      </c>
      <c r="F22" s="21">
        <f t="shared" si="1"/>
        <v>2.6256828071474865</v>
      </c>
      <c r="G22">
        <f t="shared" si="2"/>
        <v>1.6017031891491529</v>
      </c>
      <c r="H22">
        <f t="shared" si="3"/>
        <v>1.6017038071474865</v>
      </c>
      <c r="I22" s="21">
        <f t="shared" si="4"/>
        <v>4679.2380635382788</v>
      </c>
      <c r="J22" s="21">
        <f t="shared" si="5"/>
        <v>4679.23986896724</v>
      </c>
      <c r="K22" s="21">
        <f t="shared" si="6"/>
        <v>935.84761270765568</v>
      </c>
      <c r="L22" s="21">
        <f t="shared" si="7"/>
        <v>935.84797379344809</v>
      </c>
      <c r="M22" s="14">
        <f t="shared" si="8"/>
        <v>935.84779325055183</v>
      </c>
      <c r="N22" s="14">
        <f t="shared" si="9"/>
        <v>2.5532621240033121E-4</v>
      </c>
      <c r="O22" s="30">
        <f t="shared" si="10"/>
        <v>2.7282878075021916E-7</v>
      </c>
      <c r="P22">
        <v>10.801</v>
      </c>
      <c r="Q22">
        <v>4.3400000000000001E-2</v>
      </c>
      <c r="R22">
        <v>0.99919999999999998</v>
      </c>
    </row>
    <row r="23" spans="1:18" ht="14">
      <c r="A23" s="31">
        <v>1</v>
      </c>
      <c r="B23" t="s">
        <v>133</v>
      </c>
      <c r="C23" s="16">
        <v>0.26100000000000001</v>
      </c>
      <c r="D23" s="16">
        <v>0.26500000000000001</v>
      </c>
      <c r="E23" s="21">
        <f t="shared" si="0"/>
        <v>2.0146282751597075</v>
      </c>
      <c r="F23" s="21">
        <f t="shared" si="1"/>
        <v>2.051661883158967</v>
      </c>
      <c r="G23">
        <f t="shared" si="2"/>
        <v>1.0739742751597077</v>
      </c>
      <c r="H23">
        <f t="shared" si="3"/>
        <v>1.0276828831589671</v>
      </c>
      <c r="I23" s="21">
        <f t="shared" si="4"/>
        <v>3137.5234448136362</v>
      </c>
      <c r="J23" s="21">
        <f t="shared" si="5"/>
        <v>3002.2871257930674</v>
      </c>
      <c r="K23" s="21">
        <f t="shared" si="6"/>
        <v>627.5046889627273</v>
      </c>
      <c r="L23" s="21">
        <f t="shared" si="7"/>
        <v>600.45742515861343</v>
      </c>
      <c r="M23" s="14">
        <f t="shared" si="8"/>
        <v>613.98105706067031</v>
      </c>
      <c r="N23" s="14">
        <f t="shared" si="9"/>
        <v>19.125303648430371</v>
      </c>
      <c r="O23" s="30">
        <f t="shared" si="10"/>
        <v>3.1149664030335894E-2</v>
      </c>
      <c r="P23">
        <v>10.801</v>
      </c>
      <c r="Q23">
        <v>4.3400000000000001E-2</v>
      </c>
      <c r="R23">
        <v>0.99919999999999998</v>
      </c>
    </row>
    <row r="24" spans="1:18" ht="14">
      <c r="A24" s="31">
        <v>1</v>
      </c>
      <c r="B24" t="s">
        <v>134</v>
      </c>
      <c r="C24" s="16">
        <v>0.316</v>
      </c>
      <c r="D24" s="16">
        <v>0.33200000000000002</v>
      </c>
      <c r="E24" s="21">
        <f t="shared" si="0"/>
        <v>2.5238403851495232</v>
      </c>
      <c r="F24" s="21">
        <f t="shared" si="1"/>
        <v>2.6719748171465607</v>
      </c>
      <c r="G24">
        <f t="shared" si="2"/>
        <v>1.5831863851495234</v>
      </c>
      <c r="H24">
        <f t="shared" si="3"/>
        <v>1.6479958171465607</v>
      </c>
      <c r="I24" s="21">
        <f t="shared" si="4"/>
        <v>4625.1428137584671</v>
      </c>
      <c r="J24" s="21">
        <f t="shared" si="5"/>
        <v>4814.4779934167709</v>
      </c>
      <c r="K24" s="21">
        <f t="shared" si="6"/>
        <v>925.02856275169347</v>
      </c>
      <c r="L24" s="21">
        <f t="shared" si="7"/>
        <v>962.89559868335425</v>
      </c>
      <c r="M24" s="14">
        <f t="shared" si="8"/>
        <v>943.9620807175238</v>
      </c>
      <c r="N24" s="14">
        <f t="shared" si="9"/>
        <v>26.77603789071199</v>
      </c>
      <c r="O24" s="30">
        <f t="shared" si="10"/>
        <v>2.8365586327746349E-2</v>
      </c>
      <c r="P24">
        <v>10.801</v>
      </c>
      <c r="Q24">
        <v>4.3400000000000001E-2</v>
      </c>
      <c r="R24">
        <v>0.99919999999999998</v>
      </c>
    </row>
    <row r="25" spans="1:18" ht="14">
      <c r="A25" s="31">
        <v>1</v>
      </c>
      <c r="B25" t="s">
        <v>135</v>
      </c>
      <c r="C25" s="16">
        <v>0.36</v>
      </c>
      <c r="D25" s="16">
        <v>0.312</v>
      </c>
      <c r="E25" s="21">
        <f t="shared" si="0"/>
        <v>2.9312100731413757</v>
      </c>
      <c r="F25" s="21">
        <f t="shared" si="1"/>
        <v>2.4868067771502642</v>
      </c>
      <c r="G25">
        <f t="shared" si="2"/>
        <v>1.9905560731413758</v>
      </c>
      <c r="H25">
        <f t="shared" si="3"/>
        <v>1.4628277771502642</v>
      </c>
      <c r="I25" s="21">
        <f t="shared" si="4"/>
        <v>5815.2383089143323</v>
      </c>
      <c r="J25" s="21">
        <f t="shared" si="5"/>
        <v>4273.5254956186509</v>
      </c>
      <c r="K25" s="21">
        <f t="shared" si="6"/>
        <v>1163.0476617828665</v>
      </c>
      <c r="L25" s="21">
        <f t="shared" si="7"/>
        <v>854.70509912373029</v>
      </c>
      <c r="M25" s="14">
        <f t="shared" si="8"/>
        <v>1008.8763804532985</v>
      </c>
      <c r="N25" s="14">
        <f t="shared" si="9"/>
        <v>218.03111698471307</v>
      </c>
      <c r="O25" s="30">
        <f t="shared" si="10"/>
        <v>0.21611281739666605</v>
      </c>
      <c r="P25">
        <v>10.801</v>
      </c>
      <c r="Q25">
        <v>4.3400000000000001E-2</v>
      </c>
      <c r="R25">
        <v>0.99919999999999998</v>
      </c>
    </row>
    <row r="26" spans="1:18" ht="14">
      <c r="A26" s="31">
        <v>1</v>
      </c>
      <c r="B26" t="s">
        <v>55</v>
      </c>
      <c r="C26" s="16">
        <v>0.37</v>
      </c>
      <c r="D26" s="16">
        <v>0.34100000000000003</v>
      </c>
      <c r="E26" s="21">
        <f t="shared" si="0"/>
        <v>3.0237940931395242</v>
      </c>
      <c r="F26" s="21">
        <f t="shared" si="1"/>
        <v>2.755300435144894</v>
      </c>
      <c r="G26">
        <f t="shared" si="2"/>
        <v>2.0831400931395243</v>
      </c>
      <c r="H26">
        <f t="shared" si="3"/>
        <v>1.731321435144894</v>
      </c>
      <c r="I26" s="21">
        <f t="shared" si="4"/>
        <v>6085.7145578133923</v>
      </c>
      <c r="J26" s="21">
        <f t="shared" si="5"/>
        <v>5057.9066174259251</v>
      </c>
      <c r="K26" s="21">
        <f t="shared" si="6"/>
        <v>1217.1429115626784</v>
      </c>
      <c r="L26" s="21">
        <f t="shared" si="7"/>
        <v>1011.5813234851852</v>
      </c>
      <c r="M26" s="14">
        <f t="shared" si="8"/>
        <v>1114.3621175239318</v>
      </c>
      <c r="N26" s="14">
        <f t="shared" si="9"/>
        <v>145.35399288107118</v>
      </c>
      <c r="O26" s="30">
        <f t="shared" si="10"/>
        <v>0.13043694737581529</v>
      </c>
      <c r="P26">
        <v>10.801</v>
      </c>
      <c r="Q26">
        <v>4.3400000000000001E-2</v>
      </c>
      <c r="R26">
        <v>0.99919999999999998</v>
      </c>
    </row>
    <row r="27" spans="1:18" ht="14">
      <c r="A27" s="31">
        <v>1</v>
      </c>
      <c r="B27" t="s">
        <v>56</v>
      </c>
      <c r="C27" s="16">
        <v>0.16</v>
      </c>
      <c r="D27" s="16">
        <v>0.16</v>
      </c>
      <c r="E27" s="21">
        <f t="shared" si="0"/>
        <v>1.0795296731784094</v>
      </c>
      <c r="F27" s="21">
        <f t="shared" si="1"/>
        <v>1.0795296731784094</v>
      </c>
      <c r="G27">
        <f t="shared" si="2"/>
        <v>0.13887567317840943</v>
      </c>
      <c r="H27">
        <f t="shared" si="3"/>
        <v>5.5550673178409449E-2</v>
      </c>
      <c r="I27" s="21">
        <f t="shared" si="4"/>
        <v>405.71333093312717</v>
      </c>
      <c r="J27" s="21">
        <f t="shared" si="5"/>
        <v>162.28651235293441</v>
      </c>
      <c r="K27" s="21">
        <f t="shared" si="6"/>
        <v>81.142666186625434</v>
      </c>
      <c r="L27" s="21">
        <f t="shared" si="7"/>
        <v>32.457302470586882</v>
      </c>
      <c r="M27" s="14">
        <f t="shared" si="8"/>
        <v>56.799984328606158</v>
      </c>
      <c r="N27" s="14">
        <f t="shared" si="9"/>
        <v>34.425750828144352</v>
      </c>
      <c r="O27" s="30">
        <f t="shared" si="10"/>
        <v>0.60608732968974643</v>
      </c>
      <c r="P27">
        <v>10.801</v>
      </c>
      <c r="Q27">
        <v>4.3400000000000001E-2</v>
      </c>
      <c r="R27">
        <v>0.99919999999999998</v>
      </c>
    </row>
    <row r="28" spans="1:18" ht="14">
      <c r="A28" s="31">
        <v>1</v>
      </c>
      <c r="B28" t="s">
        <v>136</v>
      </c>
      <c r="C28" s="16">
        <v>0.28999999999999998</v>
      </c>
      <c r="D28" s="16">
        <v>0.30299999999999999</v>
      </c>
      <c r="E28" s="21">
        <f t="shared" si="0"/>
        <v>2.2831219331543373</v>
      </c>
      <c r="F28" s="21">
        <f t="shared" si="1"/>
        <v>2.4034811591519301</v>
      </c>
      <c r="G28">
        <f t="shared" si="2"/>
        <v>1.3424679331543374</v>
      </c>
      <c r="H28">
        <f t="shared" si="3"/>
        <v>1.3795021591519301</v>
      </c>
      <c r="I28" s="21">
        <f t="shared" si="4"/>
        <v>3921.9045666209095</v>
      </c>
      <c r="J28" s="21">
        <f t="shared" si="5"/>
        <v>4030.0968716094949</v>
      </c>
      <c r="K28" s="21">
        <f t="shared" si="6"/>
        <v>784.38091332418196</v>
      </c>
      <c r="L28" s="21">
        <f t="shared" si="7"/>
        <v>806.01937432189902</v>
      </c>
      <c r="M28" s="14">
        <f t="shared" si="8"/>
        <v>795.20014382304043</v>
      </c>
      <c r="N28" s="14">
        <f t="shared" si="9"/>
        <v>15.30070250592636</v>
      </c>
      <c r="O28" s="30">
        <f t="shared" si="10"/>
        <v>1.9241322608879327E-2</v>
      </c>
      <c r="P28">
        <v>10.801</v>
      </c>
      <c r="Q28">
        <v>4.3400000000000001E-2</v>
      </c>
      <c r="R28">
        <v>0.99919999999999998</v>
      </c>
    </row>
    <row r="29" spans="1:18" ht="14">
      <c r="A29" s="31">
        <v>1</v>
      </c>
      <c r="B29" t="s">
        <v>137</v>
      </c>
      <c r="C29" s="16">
        <v>0.22600000000000001</v>
      </c>
      <c r="D29" s="16">
        <v>0.23799999999999999</v>
      </c>
      <c r="E29" s="21">
        <f t="shared" si="0"/>
        <v>1.6905842051661883</v>
      </c>
      <c r="F29" s="21">
        <f t="shared" si="1"/>
        <v>1.8016850291639661</v>
      </c>
      <c r="G29">
        <f t="shared" si="2"/>
        <v>0.74993020516618836</v>
      </c>
      <c r="H29">
        <f t="shared" si="3"/>
        <v>0.77770602916396614</v>
      </c>
      <c r="I29" s="21">
        <f t="shared" si="4"/>
        <v>2190.8565736669248</v>
      </c>
      <c r="J29" s="21">
        <f t="shared" si="5"/>
        <v>2272.0012537656035</v>
      </c>
      <c r="K29" s="21">
        <f t="shared" si="6"/>
        <v>438.17131473338492</v>
      </c>
      <c r="L29" s="21">
        <f t="shared" si="7"/>
        <v>454.40025075312076</v>
      </c>
      <c r="M29" s="14">
        <f t="shared" si="8"/>
        <v>446.28578274325287</v>
      </c>
      <c r="N29" s="14">
        <f t="shared" si="9"/>
        <v>11.475590710997832</v>
      </c>
      <c r="O29" s="30">
        <f t="shared" si="10"/>
        <v>2.571354758482125E-2</v>
      </c>
      <c r="P29">
        <v>10.801</v>
      </c>
      <c r="Q29">
        <v>4.3400000000000001E-2</v>
      </c>
      <c r="R29">
        <v>0.99919999999999998</v>
      </c>
    </row>
    <row r="30" spans="1:18" ht="14">
      <c r="A30" s="31">
        <v>1</v>
      </c>
      <c r="B30" t="s">
        <v>138</v>
      </c>
      <c r="C30" s="16">
        <v>0.30499999999999999</v>
      </c>
      <c r="D30" s="16">
        <v>0.255</v>
      </c>
      <c r="E30" s="21">
        <f t="shared" si="0"/>
        <v>2.42199796315156</v>
      </c>
      <c r="F30" s="21">
        <f t="shared" si="1"/>
        <v>1.9590778631608186</v>
      </c>
      <c r="G30">
        <f t="shared" si="2"/>
        <v>1.4813439631515601</v>
      </c>
      <c r="H30">
        <f t="shared" si="3"/>
        <v>0.93509886316081858</v>
      </c>
      <c r="I30" s="21">
        <f t="shared" si="4"/>
        <v>4327.6189399695004</v>
      </c>
      <c r="J30" s="21">
        <f t="shared" si="5"/>
        <v>2731.8108768940069</v>
      </c>
      <c r="K30" s="21">
        <f t="shared" si="6"/>
        <v>865.52378799390021</v>
      </c>
      <c r="L30" s="21">
        <f t="shared" si="7"/>
        <v>546.36217537880134</v>
      </c>
      <c r="M30" s="14">
        <f t="shared" si="8"/>
        <v>705.94298168635078</v>
      </c>
      <c r="N30" s="14">
        <f t="shared" si="9"/>
        <v>225.68134057457021</v>
      </c>
      <c r="O30" s="30">
        <f t="shared" si="10"/>
        <v>0.31968777426678918</v>
      </c>
      <c r="P30">
        <v>10.801</v>
      </c>
      <c r="Q30">
        <v>4.3400000000000001E-2</v>
      </c>
      <c r="R30">
        <v>0.99919999999999998</v>
      </c>
    </row>
    <row r="31" spans="1:18" ht="14">
      <c r="A31" s="31">
        <v>1</v>
      </c>
      <c r="B31" t="s">
        <v>139</v>
      </c>
      <c r="C31" s="16">
        <v>0.25</v>
      </c>
      <c r="D31" s="16">
        <v>0.29299999999999998</v>
      </c>
      <c r="E31" s="21">
        <f t="shared" si="0"/>
        <v>1.9127858531617443</v>
      </c>
      <c r="F31" s="21">
        <f t="shared" si="1"/>
        <v>2.310897139153782</v>
      </c>
      <c r="G31">
        <f t="shared" si="2"/>
        <v>0.97213185316174433</v>
      </c>
      <c r="H31">
        <f t="shared" si="3"/>
        <v>1.2869181391537821</v>
      </c>
      <c r="I31" s="21">
        <f t="shared" si="4"/>
        <v>2839.999571024669</v>
      </c>
      <c r="J31" s="21">
        <f t="shared" si="5"/>
        <v>3759.6206227104353</v>
      </c>
      <c r="K31" s="21">
        <f t="shared" si="6"/>
        <v>567.99991420493382</v>
      </c>
      <c r="L31" s="21">
        <f t="shared" si="7"/>
        <v>751.92412454208716</v>
      </c>
      <c r="M31" s="14">
        <f t="shared" si="8"/>
        <v>659.96201937351043</v>
      </c>
      <c r="N31" s="14">
        <f t="shared" si="9"/>
        <v>130.05405635378301</v>
      </c>
      <c r="O31" s="30">
        <f t="shared" si="10"/>
        <v>0.19706294079959463</v>
      </c>
      <c r="P31">
        <v>10.801</v>
      </c>
      <c r="Q31">
        <v>4.3400000000000001E-2</v>
      </c>
      <c r="R31">
        <v>0.99919999999999998</v>
      </c>
    </row>
    <row r="32" spans="1:18" ht="14">
      <c r="A32" s="31">
        <v>1</v>
      </c>
      <c r="B32" t="s">
        <v>140</v>
      </c>
      <c r="C32" s="16">
        <v>0.29699999999999999</v>
      </c>
      <c r="D32" s="16">
        <v>0.29099999999999998</v>
      </c>
      <c r="E32" s="21">
        <f t="shared" si="0"/>
        <v>2.3479307471530415</v>
      </c>
      <c r="F32" s="21">
        <f t="shared" si="1"/>
        <v>2.2923803351541521</v>
      </c>
      <c r="G32">
        <f t="shared" si="2"/>
        <v>1.4072767471530416</v>
      </c>
      <c r="H32">
        <f t="shared" si="3"/>
        <v>1.2684013351541521</v>
      </c>
      <c r="I32" s="21">
        <f t="shared" si="4"/>
        <v>4111.2379408502529</v>
      </c>
      <c r="J32" s="21">
        <f t="shared" si="5"/>
        <v>3705.5253729306223</v>
      </c>
      <c r="K32" s="21">
        <f t="shared" si="6"/>
        <v>822.24758817005056</v>
      </c>
      <c r="L32" s="21">
        <f t="shared" si="7"/>
        <v>741.10507458612449</v>
      </c>
      <c r="M32" s="14">
        <f t="shared" si="8"/>
        <v>781.67633137808753</v>
      </c>
      <c r="N32" s="14">
        <f t="shared" si="9"/>
        <v>57.376421597715677</v>
      </c>
      <c r="O32" s="30">
        <f t="shared" si="10"/>
        <v>7.3401763996821578E-2</v>
      </c>
      <c r="P32">
        <v>10.801</v>
      </c>
      <c r="Q32">
        <v>4.3400000000000001E-2</v>
      </c>
      <c r="R32">
        <v>0.99919999999999998</v>
      </c>
    </row>
    <row r="33" spans="1:18">
      <c r="A33" s="31">
        <v>2</v>
      </c>
      <c r="B33" t="s">
        <v>28</v>
      </c>
      <c r="C33" s="16">
        <v>0.14699999999999999</v>
      </c>
      <c r="D33" s="16">
        <v>0.153</v>
      </c>
      <c r="E33">
        <v>0.95917044718081645</v>
      </c>
      <c r="F33">
        <v>0.99062556336758611</v>
      </c>
      <c r="N33" s="29"/>
      <c r="O33" s="30" t="e">
        <f t="shared" si="10"/>
        <v>#DIV/0!</v>
      </c>
      <c r="P33">
        <v>10.801</v>
      </c>
      <c r="Q33">
        <v>4.3400000000000001E-2</v>
      </c>
      <c r="R33">
        <v>0.99919999999999998</v>
      </c>
    </row>
    <row r="34" spans="1:18">
      <c r="A34" s="31">
        <v>2</v>
      </c>
      <c r="B34" t="s">
        <v>114</v>
      </c>
      <c r="C34" s="16">
        <v>0.17399999999999999</v>
      </c>
      <c r="D34" s="16">
        <v>0.19800000000000001</v>
      </c>
      <c r="E34">
        <v>1.2091473011758169</v>
      </c>
      <c r="F34">
        <v>1.4313489491713731</v>
      </c>
      <c r="G34">
        <f t="shared" ref="G34:G43" si="11">E34-0.95917</f>
        <v>0.24997730117581696</v>
      </c>
      <c r="H34">
        <f t="shared" ref="H34:H43" si="12">F34-0.95917</f>
        <v>0.47217894917137315</v>
      </c>
      <c r="I34">
        <f t="shared" ref="I34:I63" si="13">G34/342.3*1000000</f>
        <v>730.28717842774449</v>
      </c>
      <c r="J34">
        <f t="shared" ref="J34:J63" si="14">H34/342.3*1000000</f>
        <v>1379.4301757854898</v>
      </c>
      <c r="K34">
        <f t="shared" ref="K34:K63" si="15">(I34*0.002)/(1*10)*1000</f>
        <v>146.05743568554891</v>
      </c>
      <c r="L34">
        <f t="shared" ref="L34:L63" si="16">(J34*0.002)/(1*10)*1000</f>
        <v>275.88603515709798</v>
      </c>
      <c r="M34" s="28">
        <f t="shared" ref="M34:M63" si="17">AVERAGE(K34:L34)</f>
        <v>210.97173542132344</v>
      </c>
      <c r="N34" s="29">
        <f t="shared" ref="N34:N63" si="18">STDEV(K34:L34)</f>
        <v>91.802683078284574</v>
      </c>
      <c r="O34" s="30">
        <f t="shared" si="10"/>
        <v>0.43514209566958817</v>
      </c>
      <c r="P34">
        <v>10.801</v>
      </c>
      <c r="Q34">
        <v>4.3400000000000001E-2</v>
      </c>
      <c r="R34">
        <v>0.99919999999999998</v>
      </c>
    </row>
    <row r="35" spans="1:18">
      <c r="A35" s="31">
        <v>2</v>
      </c>
      <c r="B35" t="s">
        <v>113</v>
      </c>
      <c r="C35" s="16">
        <v>0.30099999999999999</v>
      </c>
      <c r="D35" s="16">
        <v>0.30499999999999999</v>
      </c>
      <c r="E35">
        <v>2.384964355152301</v>
      </c>
      <c r="F35">
        <v>2.42199796315156</v>
      </c>
      <c r="G35">
        <f t="shared" si="11"/>
        <v>1.4257943551523011</v>
      </c>
      <c r="H35">
        <f t="shared" si="12"/>
        <v>1.4628279631515602</v>
      </c>
      <c r="I35">
        <f t="shared" si="13"/>
        <v>4165.3355394458113</v>
      </c>
      <c r="J35">
        <f t="shared" si="14"/>
        <v>4273.5260390054336</v>
      </c>
      <c r="K35">
        <f t="shared" si="15"/>
        <v>833.06710788916223</v>
      </c>
      <c r="L35">
        <f t="shared" si="16"/>
        <v>854.70520780108689</v>
      </c>
      <c r="M35" s="28">
        <f t="shared" si="17"/>
        <v>843.88615784512456</v>
      </c>
      <c r="N35" s="29">
        <f t="shared" si="18"/>
        <v>15.300447179713961</v>
      </c>
      <c r="O35" s="30">
        <f t="shared" si="10"/>
        <v>1.8130937493730046E-2</v>
      </c>
      <c r="P35">
        <v>10.801</v>
      </c>
      <c r="Q35">
        <v>4.3400000000000001E-2</v>
      </c>
      <c r="R35">
        <v>0.99919999999999998</v>
      </c>
    </row>
    <row r="36" spans="1:18">
      <c r="A36" s="31">
        <v>2</v>
      </c>
      <c r="B36" t="s">
        <v>112</v>
      </c>
      <c r="C36" s="16">
        <v>0.32100000000000001</v>
      </c>
      <c r="D36" s="16">
        <v>0.33600000000000002</v>
      </c>
      <c r="E36">
        <v>2.5701323951485975</v>
      </c>
      <c r="F36">
        <v>2.7090084251458202</v>
      </c>
      <c r="G36">
        <f t="shared" si="11"/>
        <v>1.6109623951485976</v>
      </c>
      <c r="H36">
        <f t="shared" si="12"/>
        <v>1.7498384251458203</v>
      </c>
      <c r="I36">
        <f t="shared" si="13"/>
        <v>4706.2880372439313</v>
      </c>
      <c r="J36">
        <f t="shared" si="14"/>
        <v>5112.0024105925222</v>
      </c>
      <c r="K36">
        <f t="shared" si="15"/>
        <v>941.2576074487863</v>
      </c>
      <c r="L36">
        <f t="shared" si="16"/>
        <v>1022.4004821185044</v>
      </c>
      <c r="M36" s="28">
        <f t="shared" si="17"/>
        <v>981.82904478364537</v>
      </c>
      <c r="N36" s="29">
        <f t="shared" si="18"/>
        <v>57.376676923927832</v>
      </c>
      <c r="O36" s="30">
        <f t="shared" si="10"/>
        <v>5.8438561406147123E-2</v>
      </c>
      <c r="P36">
        <v>10.801</v>
      </c>
      <c r="Q36">
        <v>4.3400000000000001E-2</v>
      </c>
      <c r="R36">
        <v>0.99919999999999998</v>
      </c>
    </row>
    <row r="37" spans="1:18">
      <c r="A37" s="31">
        <v>2</v>
      </c>
      <c r="B37" t="s">
        <v>111</v>
      </c>
      <c r="C37" s="16">
        <v>0.29199999999999998</v>
      </c>
      <c r="D37" s="16">
        <v>0.29299999999999998</v>
      </c>
      <c r="E37">
        <v>2.3016387371539668</v>
      </c>
      <c r="F37">
        <v>2.310897139153782</v>
      </c>
      <c r="G37">
        <f t="shared" si="11"/>
        <v>1.342468737153967</v>
      </c>
      <c r="H37">
        <f t="shared" si="12"/>
        <v>1.3517271391537822</v>
      </c>
      <c r="I37">
        <f t="shared" si="13"/>
        <v>3921.9069154366548</v>
      </c>
      <c r="J37">
        <f t="shared" si="14"/>
        <v>3948.9545403265615</v>
      </c>
      <c r="K37">
        <f t="shared" si="15"/>
        <v>784.38138308733096</v>
      </c>
      <c r="L37">
        <f t="shared" si="16"/>
        <v>789.79090806531235</v>
      </c>
      <c r="M37" s="28">
        <f t="shared" si="17"/>
        <v>787.08614557632166</v>
      </c>
      <c r="N37" s="29">
        <f t="shared" si="18"/>
        <v>3.8251117949286506</v>
      </c>
      <c r="O37" s="30">
        <f t="shared" si="10"/>
        <v>4.8598388072601893E-3</v>
      </c>
      <c r="P37">
        <v>10.801</v>
      </c>
      <c r="Q37">
        <v>4.3400000000000001E-2</v>
      </c>
      <c r="R37">
        <v>0.99919999999999998</v>
      </c>
    </row>
    <row r="38" spans="1:18">
      <c r="A38" s="31">
        <v>2</v>
      </c>
      <c r="B38" t="s">
        <v>110</v>
      </c>
      <c r="C38" s="16">
        <v>0.28499999999999998</v>
      </c>
      <c r="D38" s="16">
        <v>0.30399999999999999</v>
      </c>
      <c r="E38">
        <v>2.2368299231552631</v>
      </c>
      <c r="F38">
        <v>2.4127395611517453</v>
      </c>
      <c r="G38">
        <f t="shared" si="11"/>
        <v>1.2776599231552632</v>
      </c>
      <c r="H38">
        <f t="shared" si="12"/>
        <v>1.4535695611517454</v>
      </c>
      <c r="I38">
        <f t="shared" si="13"/>
        <v>3732.5735412073127</v>
      </c>
      <c r="J38">
        <f t="shared" si="14"/>
        <v>4246.4784141155278</v>
      </c>
      <c r="K38">
        <f t="shared" si="15"/>
        <v>746.51470824146247</v>
      </c>
      <c r="L38">
        <f t="shared" si="16"/>
        <v>849.29568282310561</v>
      </c>
      <c r="M38" s="28">
        <f t="shared" si="17"/>
        <v>797.9051955322841</v>
      </c>
      <c r="N38" s="29">
        <f t="shared" si="18"/>
        <v>72.677124103642043</v>
      </c>
      <c r="O38" s="30">
        <f t="shared" si="10"/>
        <v>9.1084911478937033E-2</v>
      </c>
      <c r="P38">
        <v>10.801</v>
      </c>
      <c r="Q38">
        <v>4.3400000000000001E-2</v>
      </c>
      <c r="R38">
        <v>0.99919999999999998</v>
      </c>
    </row>
    <row r="39" spans="1:18">
      <c r="A39" s="31">
        <v>2</v>
      </c>
      <c r="B39" t="s">
        <v>109</v>
      </c>
      <c r="C39" s="16">
        <v>0.32900000000000001</v>
      </c>
      <c r="D39" s="16">
        <v>0.318</v>
      </c>
      <c r="E39">
        <v>2.644199611147116</v>
      </c>
      <c r="F39">
        <v>2.5423571891491528</v>
      </c>
      <c r="G39">
        <f t="shared" si="11"/>
        <v>1.6850296111471161</v>
      </c>
      <c r="H39">
        <f t="shared" si="12"/>
        <v>1.5831871891491529</v>
      </c>
      <c r="I39">
        <f t="shared" si="13"/>
        <v>4922.6690363631787</v>
      </c>
      <c r="J39">
        <f t="shared" si="14"/>
        <v>4625.1451625742129</v>
      </c>
      <c r="K39">
        <f t="shared" si="15"/>
        <v>984.53380727263584</v>
      </c>
      <c r="L39">
        <f t="shared" si="16"/>
        <v>925.02903251484247</v>
      </c>
      <c r="M39" s="28">
        <f t="shared" si="17"/>
        <v>954.78141989373921</v>
      </c>
      <c r="N39" s="29">
        <f t="shared" si="18"/>
        <v>42.076229744213791</v>
      </c>
      <c r="O39" s="30">
        <f t="shared" si="10"/>
        <v>4.4068965804651493E-2</v>
      </c>
      <c r="P39">
        <v>10.801</v>
      </c>
      <c r="Q39">
        <v>4.3400000000000001E-2</v>
      </c>
      <c r="R39">
        <v>0.99919999999999998</v>
      </c>
    </row>
    <row r="40" spans="1:18">
      <c r="A40" s="31">
        <v>2</v>
      </c>
      <c r="B40" t="s">
        <v>108</v>
      </c>
      <c r="C40" s="16">
        <v>0.30199999999999999</v>
      </c>
      <c r="D40" s="16">
        <v>0.35599999999999998</v>
      </c>
      <c r="E40">
        <v>2.3942227571521153</v>
      </c>
      <c r="F40">
        <v>2.8941764651421162</v>
      </c>
      <c r="G40">
        <f t="shared" si="11"/>
        <v>1.4350527571521154</v>
      </c>
      <c r="H40">
        <f t="shared" si="12"/>
        <v>1.9350064651421164</v>
      </c>
      <c r="I40">
        <f t="shared" si="13"/>
        <v>4192.3831643357153</v>
      </c>
      <c r="J40">
        <f t="shared" si="14"/>
        <v>5652.9549083906404</v>
      </c>
      <c r="K40">
        <f t="shared" si="15"/>
        <v>838.47663286714305</v>
      </c>
      <c r="L40">
        <f t="shared" si="16"/>
        <v>1130.5909816781282</v>
      </c>
      <c r="M40" s="28">
        <f t="shared" si="17"/>
        <v>984.53380727263561</v>
      </c>
      <c r="N40" s="29">
        <f t="shared" si="18"/>
        <v>206.55603692614011</v>
      </c>
      <c r="O40" s="30">
        <f t="shared" si="10"/>
        <v>0.20980085742138554</v>
      </c>
      <c r="P40">
        <v>10.801</v>
      </c>
      <c r="Q40">
        <v>4.3400000000000001E-2</v>
      </c>
      <c r="R40">
        <v>0.99919999999999998</v>
      </c>
    </row>
    <row r="41" spans="1:18">
      <c r="A41" s="31">
        <v>2</v>
      </c>
      <c r="B41" t="s">
        <v>107</v>
      </c>
      <c r="C41" s="16">
        <v>0.27</v>
      </c>
      <c r="D41" s="16">
        <v>0.29699999999999999</v>
      </c>
      <c r="E41">
        <v>2.0979538931580413</v>
      </c>
      <c r="F41">
        <v>2.3479307471530415</v>
      </c>
      <c r="G41">
        <f t="shared" si="11"/>
        <v>1.1387838931580414</v>
      </c>
      <c r="H41">
        <f t="shared" si="12"/>
        <v>1.3887607471530417</v>
      </c>
      <c r="I41">
        <f t="shared" si="13"/>
        <v>3326.8591678587245</v>
      </c>
      <c r="J41">
        <f t="shared" si="14"/>
        <v>4057.1450398861862</v>
      </c>
      <c r="K41">
        <f t="shared" si="15"/>
        <v>665.3718335717449</v>
      </c>
      <c r="L41">
        <f t="shared" si="16"/>
        <v>811.42900797723723</v>
      </c>
      <c r="M41" s="28">
        <f t="shared" si="17"/>
        <v>738.40042077449107</v>
      </c>
      <c r="N41" s="29">
        <f t="shared" si="18"/>
        <v>103.27801846306987</v>
      </c>
      <c r="O41" s="30">
        <f t="shared" si="10"/>
        <v>0.1398672259080567</v>
      </c>
      <c r="P41">
        <v>10.801</v>
      </c>
      <c r="Q41">
        <v>4.3400000000000001E-2</v>
      </c>
      <c r="R41">
        <v>0.99919999999999998</v>
      </c>
    </row>
    <row r="42" spans="1:18">
      <c r="A42" s="31">
        <v>2</v>
      </c>
      <c r="B42" t="s">
        <v>106</v>
      </c>
      <c r="C42" s="16">
        <v>0.32200000000000001</v>
      </c>
      <c r="D42" s="16">
        <v>0.314</v>
      </c>
      <c r="E42">
        <v>2.5793907971484122</v>
      </c>
      <c r="F42">
        <v>2.5053235811498933</v>
      </c>
      <c r="G42">
        <f t="shared" si="11"/>
        <v>1.6202207971484124</v>
      </c>
      <c r="H42">
        <f t="shared" si="12"/>
        <v>1.5461535811498934</v>
      </c>
      <c r="I42">
        <f t="shared" si="13"/>
        <v>4733.3356621338362</v>
      </c>
      <c r="J42">
        <f t="shared" si="14"/>
        <v>4516.9546630145878</v>
      </c>
      <c r="K42">
        <f t="shared" si="15"/>
        <v>946.66713242676724</v>
      </c>
      <c r="L42">
        <f t="shared" si="16"/>
        <v>903.3909326029177</v>
      </c>
      <c r="M42" s="28">
        <f t="shared" si="17"/>
        <v>925.02903251484247</v>
      </c>
      <c r="N42" s="29">
        <f t="shared" si="18"/>
        <v>30.600894359428082</v>
      </c>
      <c r="O42" s="30">
        <f t="shared" si="10"/>
        <v>3.3081009658945032E-2</v>
      </c>
      <c r="P42">
        <v>10.801</v>
      </c>
      <c r="Q42">
        <v>4.3400000000000001E-2</v>
      </c>
      <c r="R42">
        <v>0.99919999999999998</v>
      </c>
    </row>
    <row r="43" spans="1:18">
      <c r="A43" s="31">
        <v>2</v>
      </c>
      <c r="B43" t="s">
        <v>105</v>
      </c>
      <c r="C43" s="16">
        <v>0.31</v>
      </c>
      <c r="D43" s="16">
        <v>0.35199999999999998</v>
      </c>
      <c r="E43">
        <v>2.4682899731506343</v>
      </c>
      <c r="F43">
        <v>2.8571428571428572</v>
      </c>
      <c r="G43">
        <f t="shared" si="11"/>
        <v>1.5091199731506344</v>
      </c>
      <c r="H43">
        <f t="shared" si="12"/>
        <v>1.8979728571428574</v>
      </c>
      <c r="I43">
        <f t="shared" si="13"/>
        <v>4408.7641634549645</v>
      </c>
      <c r="J43">
        <f t="shared" si="14"/>
        <v>5544.7644088310171</v>
      </c>
      <c r="K43">
        <f t="shared" si="15"/>
        <v>881.75283269099293</v>
      </c>
      <c r="L43">
        <f t="shared" si="16"/>
        <v>1108.9528817662033</v>
      </c>
      <c r="M43" s="28">
        <f t="shared" si="17"/>
        <v>995.35285722859817</v>
      </c>
      <c r="N43" s="29">
        <f t="shared" si="18"/>
        <v>160.65469538699696</v>
      </c>
      <c r="O43" s="30">
        <f t="shared" si="10"/>
        <v>0.1614047663803512</v>
      </c>
      <c r="P43">
        <v>10.801</v>
      </c>
      <c r="Q43">
        <v>4.3400000000000001E-2</v>
      </c>
      <c r="R43">
        <v>0.99919999999999998</v>
      </c>
    </row>
    <row r="44" spans="1:18">
      <c r="A44" s="31">
        <v>2</v>
      </c>
      <c r="B44" t="s">
        <v>104</v>
      </c>
      <c r="C44" s="16">
        <v>0.25700000000000001</v>
      </c>
      <c r="D44" s="16">
        <v>0.216</v>
      </c>
      <c r="E44">
        <v>1.9775946671604483</v>
      </c>
      <c r="F44">
        <v>1.5585000901388137</v>
      </c>
      <c r="G44">
        <f t="shared" ref="G44:G53" si="19">E44-0.95917</f>
        <v>1.0184246671604482</v>
      </c>
      <c r="H44">
        <f t="shared" ref="H44:H63" si="20">F44-0.990626</f>
        <v>0.56787409013881374</v>
      </c>
      <c r="I44">
        <f t="shared" si="13"/>
        <v>2975.2400442899452</v>
      </c>
      <c r="J44">
        <f t="shared" si="14"/>
        <v>1658.9952969290496</v>
      </c>
      <c r="K44">
        <f t="shared" si="15"/>
        <v>595.04800885798898</v>
      </c>
      <c r="L44">
        <f t="shared" si="16"/>
        <v>331.79905938580987</v>
      </c>
      <c r="M44" s="28">
        <f t="shared" si="17"/>
        <v>463.42353412189942</v>
      </c>
      <c r="N44" s="29">
        <f t="shared" si="18"/>
        <v>186.14511731201264</v>
      </c>
      <c r="O44" s="30">
        <f t="shared" si="10"/>
        <v>0.40167385470555067</v>
      </c>
      <c r="P44">
        <v>10.801</v>
      </c>
      <c r="Q44">
        <v>4.3400000000000001E-2</v>
      </c>
      <c r="R44">
        <v>0.99919999999999998</v>
      </c>
    </row>
    <row r="45" spans="1:18">
      <c r="A45" s="31">
        <v>2</v>
      </c>
      <c r="B45" t="s">
        <v>103</v>
      </c>
      <c r="C45" s="16">
        <v>0.27100000000000002</v>
      </c>
      <c r="D45" s="16">
        <v>0.28599999999999998</v>
      </c>
      <c r="E45">
        <v>2.107212295157856</v>
      </c>
      <c r="F45">
        <v>2.1894717865512887</v>
      </c>
      <c r="G45">
        <f t="shared" si="19"/>
        <v>1.1480422951578562</v>
      </c>
      <c r="H45">
        <f t="shared" si="20"/>
        <v>1.1988457865512887</v>
      </c>
      <c r="I45">
        <f t="shared" si="13"/>
        <v>3353.9067927486299</v>
      </c>
      <c r="J45">
        <f t="shared" si="14"/>
        <v>3502.3248219435836</v>
      </c>
      <c r="K45">
        <f t="shared" si="15"/>
        <v>670.78135854972595</v>
      </c>
      <c r="L45">
        <f t="shared" si="16"/>
        <v>700.46496438871679</v>
      </c>
      <c r="M45" s="28">
        <f t="shared" si="17"/>
        <v>685.62316146922137</v>
      </c>
      <c r="N45" s="29">
        <f t="shared" si="18"/>
        <v>20.989478978819022</v>
      </c>
      <c r="O45" s="30">
        <f t="shared" si="10"/>
        <v>3.0613725087467413E-2</v>
      </c>
      <c r="P45">
        <v>10.801</v>
      </c>
      <c r="Q45">
        <v>4.3400000000000001E-2</v>
      </c>
      <c r="R45">
        <v>0.99919999999999998</v>
      </c>
    </row>
    <row r="46" spans="1:18">
      <c r="A46" s="31">
        <v>2</v>
      </c>
      <c r="B46" t="s">
        <v>102</v>
      </c>
      <c r="C46" s="16">
        <v>0.224</v>
      </c>
      <c r="D46" s="16">
        <v>0.222</v>
      </c>
      <c r="E46">
        <v>1.6720674011665586</v>
      </c>
      <c r="F46">
        <v>1.6125833784027406</v>
      </c>
      <c r="G46">
        <f t="shared" si="19"/>
        <v>0.71289740116655864</v>
      </c>
      <c r="H46">
        <f t="shared" si="20"/>
        <v>0.62195737840274057</v>
      </c>
      <c r="I46">
        <f t="shared" si="13"/>
        <v>2082.6684229230459</v>
      </c>
      <c r="J46">
        <f t="shared" si="14"/>
        <v>1816.9949705017252</v>
      </c>
      <c r="K46">
        <f t="shared" si="15"/>
        <v>416.53368458460915</v>
      </c>
      <c r="L46">
        <f t="shared" si="16"/>
        <v>363.39899410034502</v>
      </c>
      <c r="M46" s="28">
        <f t="shared" si="17"/>
        <v>389.96633934247711</v>
      </c>
      <c r="N46" s="29">
        <f t="shared" si="18"/>
        <v>37.571899957671484</v>
      </c>
      <c r="O46" s="30">
        <f t="shared" si="10"/>
        <v>9.6346520627963755E-2</v>
      </c>
      <c r="P46">
        <v>10.801</v>
      </c>
      <c r="Q46">
        <v>4.3400000000000001E-2</v>
      </c>
      <c r="R46">
        <v>0.99919999999999998</v>
      </c>
    </row>
    <row r="47" spans="1:18">
      <c r="A47" s="31">
        <v>2</v>
      </c>
      <c r="B47" t="s">
        <v>101</v>
      </c>
      <c r="C47" s="16">
        <v>0.24399999999999999</v>
      </c>
      <c r="D47" s="16">
        <v>0.254</v>
      </c>
      <c r="E47">
        <v>1.8572354411628553</v>
      </c>
      <c r="F47">
        <v>1.9010275824770149</v>
      </c>
      <c r="G47">
        <f t="shared" si="19"/>
        <v>0.89806544116285536</v>
      </c>
      <c r="H47">
        <f t="shared" si="20"/>
        <v>0.91040158247701486</v>
      </c>
      <c r="I47">
        <f t="shared" si="13"/>
        <v>2623.6209207211664</v>
      </c>
      <c r="J47">
        <f t="shared" si="14"/>
        <v>2659.6598962226549</v>
      </c>
      <c r="K47">
        <f t="shared" si="15"/>
        <v>524.72418414423328</v>
      </c>
      <c r="L47">
        <f t="shared" si="16"/>
        <v>531.93197924453091</v>
      </c>
      <c r="M47" s="28">
        <f t="shared" si="17"/>
        <v>528.32808169438204</v>
      </c>
      <c r="N47" s="29">
        <f t="shared" si="18"/>
        <v>5.0966807928236264</v>
      </c>
      <c r="O47" s="30">
        <f t="shared" si="10"/>
        <v>9.6468103237636812E-3</v>
      </c>
      <c r="P47">
        <v>10.801</v>
      </c>
      <c r="Q47">
        <v>4.3400000000000001E-2</v>
      </c>
      <c r="R47">
        <v>0.99919999999999998</v>
      </c>
    </row>
    <row r="48" spans="1:18">
      <c r="A48" s="31">
        <v>2</v>
      </c>
      <c r="B48" t="s">
        <v>100</v>
      </c>
      <c r="C48" s="16">
        <v>0.24299999999999999</v>
      </c>
      <c r="D48" s="16">
        <v>0.26200000000000001</v>
      </c>
      <c r="E48">
        <v>1.8479770391630406</v>
      </c>
      <c r="F48">
        <v>1.9731386334955834</v>
      </c>
      <c r="G48">
        <f t="shared" si="19"/>
        <v>0.8888070391630406</v>
      </c>
      <c r="H48">
        <f t="shared" si="20"/>
        <v>0.98251263349558338</v>
      </c>
      <c r="I48">
        <f t="shared" si="13"/>
        <v>2596.573295831261</v>
      </c>
      <c r="J48">
        <f t="shared" si="14"/>
        <v>2870.3261276528874</v>
      </c>
      <c r="K48">
        <f t="shared" si="15"/>
        <v>519.31465916625223</v>
      </c>
      <c r="L48">
        <f t="shared" si="16"/>
        <v>574.06522553057744</v>
      </c>
      <c r="M48" s="28">
        <f t="shared" si="17"/>
        <v>546.68994234841489</v>
      </c>
      <c r="N48" s="29">
        <f t="shared" si="18"/>
        <v>38.714496750018455</v>
      </c>
      <c r="O48" s="30">
        <f t="shared" si="10"/>
        <v>7.0816186198181488E-2</v>
      </c>
      <c r="P48">
        <v>10.801</v>
      </c>
      <c r="Q48">
        <v>4.3400000000000001E-2</v>
      </c>
      <c r="R48">
        <v>0.99919999999999998</v>
      </c>
    </row>
    <row r="49" spans="1:18">
      <c r="A49" s="31">
        <v>2</v>
      </c>
      <c r="B49" t="s">
        <v>99</v>
      </c>
      <c r="C49" s="16">
        <v>0.222</v>
      </c>
      <c r="D49" s="16">
        <v>0.23799999999999999</v>
      </c>
      <c r="E49">
        <v>1.6535505971669289</v>
      </c>
      <c r="F49">
        <v>1.7568054804398774</v>
      </c>
      <c r="G49">
        <f t="shared" si="19"/>
        <v>0.6943805971669289</v>
      </c>
      <c r="H49">
        <f t="shared" si="20"/>
        <v>0.76617948043987738</v>
      </c>
      <c r="I49">
        <f t="shared" si="13"/>
        <v>2028.5731731432338</v>
      </c>
      <c r="J49">
        <f t="shared" si="14"/>
        <v>2238.3274333621889</v>
      </c>
      <c r="K49">
        <f t="shared" si="15"/>
        <v>405.71463462864676</v>
      </c>
      <c r="L49">
        <f t="shared" si="16"/>
        <v>447.66548667243779</v>
      </c>
      <c r="M49" s="28">
        <f t="shared" si="17"/>
        <v>426.69006065054225</v>
      </c>
      <c r="N49" s="29">
        <f t="shared" si="18"/>
        <v>29.663731956718173</v>
      </c>
      <c r="O49" s="30">
        <f t="shared" si="10"/>
        <v>6.9520559985606675E-2</v>
      </c>
      <c r="P49">
        <v>10.801</v>
      </c>
      <c r="Q49">
        <v>4.3400000000000001E-2</v>
      </c>
      <c r="R49">
        <v>0.99919999999999998</v>
      </c>
    </row>
    <row r="50" spans="1:18">
      <c r="A50" s="31">
        <v>2</v>
      </c>
      <c r="B50" t="s">
        <v>98</v>
      </c>
      <c r="C50" s="16">
        <v>0.28000000000000003</v>
      </c>
      <c r="D50" s="16">
        <v>0.28299999999999997</v>
      </c>
      <c r="E50">
        <v>2.1905379131561897</v>
      </c>
      <c r="F50">
        <v>2.1624301424193257</v>
      </c>
      <c r="G50">
        <f t="shared" si="19"/>
        <v>1.2313679131561899</v>
      </c>
      <c r="H50">
        <f t="shared" si="20"/>
        <v>1.1718041424193257</v>
      </c>
      <c r="I50">
        <f t="shared" si="13"/>
        <v>3597.335416757785</v>
      </c>
      <c r="J50">
        <f t="shared" si="14"/>
        <v>3423.3249851572473</v>
      </c>
      <c r="K50">
        <f t="shared" si="15"/>
        <v>719.46708335155699</v>
      </c>
      <c r="L50">
        <f t="shared" si="16"/>
        <v>684.6649970314495</v>
      </c>
      <c r="M50" s="28">
        <f t="shared" si="17"/>
        <v>702.06604019150325</v>
      </c>
      <c r="N50" s="29">
        <f t="shared" si="18"/>
        <v>24.608791236387585</v>
      </c>
      <c r="O50" s="30">
        <f t="shared" si="10"/>
        <v>3.5051960681184664E-2</v>
      </c>
      <c r="P50">
        <v>10.801</v>
      </c>
      <c r="Q50">
        <v>4.3400000000000001E-2</v>
      </c>
      <c r="R50">
        <v>0.99919999999999998</v>
      </c>
    </row>
    <row r="51" spans="1:18">
      <c r="A51" s="31">
        <v>2</v>
      </c>
      <c r="B51" t="s">
        <v>97</v>
      </c>
      <c r="C51" s="16">
        <v>0.22500000000000001</v>
      </c>
      <c r="D51" s="16">
        <v>0.253</v>
      </c>
      <c r="E51">
        <v>1.6813258031663736</v>
      </c>
      <c r="F51">
        <v>1.8920137010996936</v>
      </c>
      <c r="G51">
        <f t="shared" si="19"/>
        <v>0.72215580316637362</v>
      </c>
      <c r="H51">
        <f t="shared" si="20"/>
        <v>0.90138770109969357</v>
      </c>
      <c r="I51">
        <f t="shared" si="13"/>
        <v>2109.7160478129526</v>
      </c>
      <c r="J51">
        <f t="shared" si="14"/>
        <v>2633.3266172938752</v>
      </c>
      <c r="K51">
        <f t="shared" si="15"/>
        <v>421.9432095625906</v>
      </c>
      <c r="L51">
        <f t="shared" si="16"/>
        <v>526.66532345877499</v>
      </c>
      <c r="M51" s="28">
        <f t="shared" si="17"/>
        <v>474.30426651068279</v>
      </c>
      <c r="N51" s="29">
        <f t="shared" si="18"/>
        <v>74.049716876182174</v>
      </c>
      <c r="O51" s="30">
        <f t="shared" si="10"/>
        <v>0.15612281420309412</v>
      </c>
      <c r="P51">
        <v>10.801</v>
      </c>
      <c r="Q51">
        <v>4.3400000000000001E-2</v>
      </c>
      <c r="R51">
        <v>0.99919999999999998</v>
      </c>
    </row>
    <row r="52" spans="1:18">
      <c r="A52" s="31">
        <v>2</v>
      </c>
      <c r="B52" t="s">
        <v>96</v>
      </c>
      <c r="C52" s="16">
        <v>0.27900000000000003</v>
      </c>
      <c r="D52" s="16">
        <v>0.30099999999999999</v>
      </c>
      <c r="E52">
        <v>2.1812795111563745</v>
      </c>
      <c r="F52">
        <v>2.3246800072111053</v>
      </c>
      <c r="G52">
        <f t="shared" si="19"/>
        <v>1.2221095111563747</v>
      </c>
      <c r="H52">
        <f t="shared" si="20"/>
        <v>1.3340540072111053</v>
      </c>
      <c r="I52">
        <f t="shared" si="13"/>
        <v>3570.2877918678778</v>
      </c>
      <c r="J52">
        <f t="shared" si="14"/>
        <v>3897.3240058752708</v>
      </c>
      <c r="K52">
        <f t="shared" si="15"/>
        <v>714.05755837357549</v>
      </c>
      <c r="L52">
        <f t="shared" si="16"/>
        <v>779.46480117505416</v>
      </c>
      <c r="M52" s="28">
        <f t="shared" si="17"/>
        <v>746.76117977431477</v>
      </c>
      <c r="N52" s="29">
        <f t="shared" si="18"/>
        <v>46.249904923640564</v>
      </c>
      <c r="O52" s="30">
        <f t="shared" si="10"/>
        <v>6.1933997342521412E-2</v>
      </c>
      <c r="P52">
        <v>10.801</v>
      </c>
      <c r="Q52">
        <v>4.3400000000000001E-2</v>
      </c>
      <c r="R52">
        <v>0.99919999999999998</v>
      </c>
    </row>
    <row r="53" spans="1:18">
      <c r="A53" s="31">
        <v>2</v>
      </c>
      <c r="B53" t="s">
        <v>95</v>
      </c>
      <c r="C53" s="16">
        <v>0.20300000000000001</v>
      </c>
      <c r="D53" s="16">
        <v>0.21199999999999999</v>
      </c>
      <c r="E53">
        <v>1.4776409591704474</v>
      </c>
      <c r="F53">
        <v>1.5224445646295295</v>
      </c>
      <c r="G53">
        <f t="shared" si="19"/>
        <v>0.51847095917044739</v>
      </c>
      <c r="H53">
        <f t="shared" si="20"/>
        <v>0.53181856462952948</v>
      </c>
      <c r="I53">
        <f t="shared" si="13"/>
        <v>1514.6683002350201</v>
      </c>
      <c r="J53">
        <f t="shared" si="14"/>
        <v>1553.6621812139335</v>
      </c>
      <c r="K53">
        <f t="shared" si="15"/>
        <v>302.93366004700403</v>
      </c>
      <c r="L53">
        <f t="shared" si="16"/>
        <v>310.73243624278666</v>
      </c>
      <c r="M53" s="28">
        <f t="shared" si="17"/>
        <v>306.83304814489532</v>
      </c>
      <c r="N53" s="29">
        <f t="shared" si="18"/>
        <v>5.5145675329941284</v>
      </c>
      <c r="O53" s="30">
        <f t="shared" si="10"/>
        <v>1.7972534465681131E-2</v>
      </c>
      <c r="P53">
        <v>10.801</v>
      </c>
      <c r="Q53">
        <v>4.3400000000000001E-2</v>
      </c>
      <c r="R53">
        <v>0.99919999999999998</v>
      </c>
    </row>
    <row r="54" spans="1:18">
      <c r="A54" s="31">
        <v>2</v>
      </c>
      <c r="B54" t="s">
        <v>94</v>
      </c>
      <c r="C54" s="16">
        <v>0.20300000000000001</v>
      </c>
      <c r="D54" s="16">
        <v>0.19</v>
      </c>
      <c r="E54">
        <v>1.4413196322336401</v>
      </c>
      <c r="F54">
        <v>1.3241391743284658</v>
      </c>
      <c r="G54">
        <f t="shared" ref="G54:G63" si="21">E54-0.990626</f>
        <v>0.45069363223364012</v>
      </c>
      <c r="H54">
        <f t="shared" si="20"/>
        <v>0.33351317432846583</v>
      </c>
      <c r="I54">
        <f t="shared" si="13"/>
        <v>1316.6626708549229</v>
      </c>
      <c r="J54">
        <f t="shared" si="14"/>
        <v>974.33004478079408</v>
      </c>
      <c r="K54">
        <f t="shared" si="15"/>
        <v>263.33253417098456</v>
      </c>
      <c r="L54">
        <f t="shared" si="16"/>
        <v>194.86600895615882</v>
      </c>
      <c r="M54" s="28">
        <f t="shared" si="17"/>
        <v>229.09927156357168</v>
      </c>
      <c r="N54" s="29">
        <f t="shared" si="18"/>
        <v>48.413144263683186</v>
      </c>
      <c r="O54" s="30">
        <f t="shared" si="10"/>
        <v>0.21131950325843463</v>
      </c>
      <c r="P54">
        <v>10.801</v>
      </c>
      <c r="Q54">
        <v>4.3400000000000001E-2</v>
      </c>
      <c r="R54">
        <v>0.99919999999999998</v>
      </c>
    </row>
    <row r="55" spans="1:18">
      <c r="A55" s="31">
        <v>2</v>
      </c>
      <c r="B55" t="s">
        <v>93</v>
      </c>
      <c r="C55" s="16">
        <v>0.17199999999999999</v>
      </c>
      <c r="D55" s="16">
        <v>0.16500000000000001</v>
      </c>
      <c r="E55">
        <v>1.1618893095366865</v>
      </c>
      <c r="F55">
        <v>1.0987921398954392</v>
      </c>
      <c r="G55">
        <f t="shared" si="21"/>
        <v>0.17126330953668645</v>
      </c>
      <c r="H55">
        <f t="shared" si="20"/>
        <v>0.10816613989543922</v>
      </c>
      <c r="I55">
        <f t="shared" si="13"/>
        <v>500.33102406277078</v>
      </c>
      <c r="J55">
        <f t="shared" si="14"/>
        <v>315.99807156131817</v>
      </c>
      <c r="K55">
        <f t="shared" si="15"/>
        <v>100.06620481255416</v>
      </c>
      <c r="L55">
        <f t="shared" si="16"/>
        <v>63.199614312263634</v>
      </c>
      <c r="M55" s="28">
        <f t="shared" si="17"/>
        <v>81.632909562408898</v>
      </c>
      <c r="N55" s="29">
        <f t="shared" si="18"/>
        <v>26.068616141982972</v>
      </c>
      <c r="O55" s="30">
        <f t="shared" si="10"/>
        <v>0.31933954432989237</v>
      </c>
      <c r="P55">
        <v>10.801</v>
      </c>
      <c r="Q55">
        <v>4.3400000000000001E-2</v>
      </c>
      <c r="R55">
        <v>0.99919999999999998</v>
      </c>
    </row>
    <row r="56" spans="1:18">
      <c r="A56" s="31">
        <v>2</v>
      </c>
      <c r="B56" t="s">
        <v>92</v>
      </c>
      <c r="C56" s="16">
        <v>0.27</v>
      </c>
      <c r="D56" s="16">
        <v>0.25600000000000001</v>
      </c>
      <c r="E56">
        <v>2.0452496845141521</v>
      </c>
      <c r="F56">
        <v>1.9190553452316568</v>
      </c>
      <c r="G56">
        <f t="shared" si="21"/>
        <v>1.0546236845141521</v>
      </c>
      <c r="H56">
        <f t="shared" si="20"/>
        <v>0.92842934523165677</v>
      </c>
      <c r="I56">
        <f t="shared" si="13"/>
        <v>3080.9923590831204</v>
      </c>
      <c r="J56">
        <f t="shared" si="14"/>
        <v>2712.3264540802124</v>
      </c>
      <c r="K56">
        <f t="shared" si="15"/>
        <v>616.19847181662396</v>
      </c>
      <c r="L56">
        <f t="shared" si="16"/>
        <v>542.46529081604251</v>
      </c>
      <c r="M56" s="28">
        <f t="shared" si="17"/>
        <v>579.33188131633324</v>
      </c>
      <c r="N56" s="29">
        <f t="shared" si="18"/>
        <v>52.137232283966256</v>
      </c>
      <c r="O56" s="30">
        <f t="shared" si="10"/>
        <v>8.9995448145374385E-2</v>
      </c>
      <c r="P56">
        <v>10.801</v>
      </c>
      <c r="Q56">
        <v>4.3400000000000001E-2</v>
      </c>
      <c r="R56">
        <v>0.99919999999999998</v>
      </c>
    </row>
    <row r="57" spans="1:18">
      <c r="A57" s="31">
        <v>2</v>
      </c>
      <c r="B57" t="s">
        <v>91</v>
      </c>
      <c r="C57" s="16">
        <v>0.253</v>
      </c>
      <c r="D57" s="16">
        <v>0.221</v>
      </c>
      <c r="E57">
        <v>1.8920137010996936</v>
      </c>
      <c r="F57">
        <v>1.6035694970254193</v>
      </c>
      <c r="G57">
        <f t="shared" si="21"/>
        <v>0.90138770109969357</v>
      </c>
      <c r="H57">
        <f t="shared" si="20"/>
        <v>0.61294349702541928</v>
      </c>
      <c r="I57">
        <f t="shared" si="13"/>
        <v>2633.3266172938752</v>
      </c>
      <c r="J57">
        <f t="shared" si="14"/>
        <v>1790.6616915729458</v>
      </c>
      <c r="K57">
        <f t="shared" si="15"/>
        <v>526.66532345877499</v>
      </c>
      <c r="L57">
        <f t="shared" si="16"/>
        <v>358.13233831458916</v>
      </c>
      <c r="M57" s="28">
        <f t="shared" si="17"/>
        <v>442.39883088668205</v>
      </c>
      <c r="N57" s="29">
        <f t="shared" si="18"/>
        <v>119.17081664906574</v>
      </c>
      <c r="O57" s="30">
        <f t="shared" si="10"/>
        <v>0.26937416721969293</v>
      </c>
      <c r="P57">
        <v>10.801</v>
      </c>
      <c r="Q57">
        <v>4.3400000000000001E-2</v>
      </c>
      <c r="R57">
        <v>0.99919999999999998</v>
      </c>
    </row>
    <row r="58" spans="1:18">
      <c r="A58" s="31">
        <v>2</v>
      </c>
      <c r="B58" t="s">
        <v>90</v>
      </c>
      <c r="C58" s="16">
        <v>0.20599999999999999</v>
      </c>
      <c r="D58" s="16">
        <v>0.218</v>
      </c>
      <c r="E58">
        <v>1.4683612763656029</v>
      </c>
      <c r="F58">
        <v>1.5765278528934561</v>
      </c>
      <c r="G58">
        <f t="shared" si="21"/>
        <v>0.47773527636560287</v>
      </c>
      <c r="H58">
        <f t="shared" si="20"/>
        <v>0.58590185289345609</v>
      </c>
      <c r="I58">
        <f t="shared" si="13"/>
        <v>1395.6625076412586</v>
      </c>
      <c r="J58">
        <f t="shared" si="14"/>
        <v>1711.6618547866085</v>
      </c>
      <c r="K58">
        <f t="shared" si="15"/>
        <v>279.13250152825168</v>
      </c>
      <c r="L58">
        <f t="shared" si="16"/>
        <v>342.3323709573217</v>
      </c>
      <c r="M58" s="28">
        <f t="shared" si="17"/>
        <v>310.73243624278666</v>
      </c>
      <c r="N58" s="29">
        <f t="shared" si="18"/>
        <v>44.689056243400138</v>
      </c>
      <c r="O58" s="30">
        <f t="shared" si="10"/>
        <v>0.1438184464543088</v>
      </c>
      <c r="P58">
        <v>10.801</v>
      </c>
      <c r="Q58">
        <v>4.3400000000000001E-2</v>
      </c>
      <c r="R58">
        <v>0.99919999999999998</v>
      </c>
    </row>
    <row r="59" spans="1:18">
      <c r="A59" s="31">
        <v>2</v>
      </c>
      <c r="B59" t="s">
        <v>89</v>
      </c>
      <c r="C59" s="16">
        <v>0.24099999999999999</v>
      </c>
      <c r="D59" s="16">
        <v>0.215</v>
      </c>
      <c r="E59">
        <v>1.7838471245718406</v>
      </c>
      <c r="F59">
        <v>1.5494862087614927</v>
      </c>
      <c r="G59">
        <f t="shared" si="21"/>
        <v>0.79322112457184057</v>
      </c>
      <c r="H59">
        <f t="shared" si="20"/>
        <v>0.55886020876149267</v>
      </c>
      <c r="I59">
        <f t="shared" si="13"/>
        <v>2317.3272701485266</v>
      </c>
      <c r="J59">
        <f t="shared" si="14"/>
        <v>1632.6620180002708</v>
      </c>
      <c r="K59">
        <f t="shared" si="15"/>
        <v>463.46545402970537</v>
      </c>
      <c r="L59">
        <f t="shared" si="16"/>
        <v>326.53240360005418</v>
      </c>
      <c r="M59" s="28">
        <f t="shared" si="17"/>
        <v>394.99892881487978</v>
      </c>
      <c r="N59" s="29">
        <f t="shared" si="18"/>
        <v>96.826288527365776</v>
      </c>
      <c r="O59" s="30">
        <f t="shared" si="10"/>
        <v>0.24513050913296119</v>
      </c>
      <c r="P59">
        <v>10.801</v>
      </c>
      <c r="Q59">
        <v>4.3400000000000001E-2</v>
      </c>
      <c r="R59">
        <v>0.99919999999999998</v>
      </c>
    </row>
    <row r="60" spans="1:18">
      <c r="A60" s="31">
        <v>2</v>
      </c>
      <c r="B60" t="s">
        <v>88</v>
      </c>
      <c r="C60" s="16">
        <v>0.245</v>
      </c>
      <c r="D60" s="16">
        <v>0.23200000000000001</v>
      </c>
      <c r="E60">
        <v>1.8199026500811251</v>
      </c>
      <c r="F60">
        <v>1.7027221921759512</v>
      </c>
      <c r="G60">
        <f t="shared" si="21"/>
        <v>0.82927665008112506</v>
      </c>
      <c r="H60">
        <f t="shared" si="20"/>
        <v>0.71209619217595121</v>
      </c>
      <c r="I60">
        <f t="shared" si="13"/>
        <v>2422.6603858636431</v>
      </c>
      <c r="J60">
        <f t="shared" si="14"/>
        <v>2080.3277597895153</v>
      </c>
      <c r="K60">
        <f t="shared" si="15"/>
        <v>484.53207717272869</v>
      </c>
      <c r="L60">
        <f t="shared" si="16"/>
        <v>416.06555195790304</v>
      </c>
      <c r="M60" s="28">
        <f t="shared" si="17"/>
        <v>450.29881456531587</v>
      </c>
      <c r="N60" s="29">
        <f t="shared" si="18"/>
        <v>48.413144263682959</v>
      </c>
      <c r="O60" s="30">
        <f t="shared" si="10"/>
        <v>0.10751337267102805</v>
      </c>
      <c r="P60">
        <v>10.801</v>
      </c>
      <c r="Q60">
        <v>4.3400000000000001E-2</v>
      </c>
      <c r="R60">
        <v>0.99919999999999998</v>
      </c>
    </row>
    <row r="61" spans="1:18">
      <c r="A61" s="31">
        <v>2</v>
      </c>
      <c r="B61" t="s">
        <v>87</v>
      </c>
      <c r="C61" s="16">
        <v>0.28699999999999998</v>
      </c>
      <c r="D61" s="16">
        <v>0.29599999999999999</v>
      </c>
      <c r="E61">
        <v>2.19848566792861</v>
      </c>
      <c r="F61">
        <v>2.2796106003244998</v>
      </c>
      <c r="G61">
        <f t="shared" si="21"/>
        <v>1.20785966792861</v>
      </c>
      <c r="H61">
        <f t="shared" si="20"/>
        <v>1.2889846003244998</v>
      </c>
      <c r="I61">
        <f t="shared" si="13"/>
        <v>3528.6581008723633</v>
      </c>
      <c r="J61">
        <f t="shared" si="14"/>
        <v>3765.6576112313755</v>
      </c>
      <c r="K61">
        <f t="shared" si="15"/>
        <v>705.73162017447271</v>
      </c>
      <c r="L61">
        <f t="shared" si="16"/>
        <v>753.13152224627515</v>
      </c>
      <c r="M61" s="28">
        <f t="shared" si="17"/>
        <v>729.43157121037393</v>
      </c>
      <c r="N61" s="29">
        <f t="shared" si="18"/>
        <v>33.516792182549793</v>
      </c>
      <c r="O61" s="30">
        <f t="shared" si="10"/>
        <v>4.594919318742139E-2</v>
      </c>
      <c r="P61">
        <v>10.801</v>
      </c>
      <c r="Q61">
        <v>4.3400000000000001E-2</v>
      </c>
      <c r="R61">
        <v>0.99919999999999998</v>
      </c>
    </row>
    <row r="62" spans="1:18">
      <c r="A62" s="31">
        <v>2</v>
      </c>
      <c r="B62" t="s">
        <v>86</v>
      </c>
      <c r="C62" s="16">
        <v>0.28799999999999998</v>
      </c>
      <c r="D62" s="16">
        <v>0.27800000000000002</v>
      </c>
      <c r="E62">
        <v>2.2074995493059313</v>
      </c>
      <c r="F62">
        <v>2.1173607355327206</v>
      </c>
      <c r="G62">
        <f t="shared" si="21"/>
        <v>1.2168735493059313</v>
      </c>
      <c r="H62">
        <f t="shared" si="20"/>
        <v>1.1267347355327206</v>
      </c>
      <c r="I62">
        <f t="shared" si="13"/>
        <v>3554.9913798011426</v>
      </c>
      <c r="J62">
        <f t="shared" si="14"/>
        <v>3291.6585905133525</v>
      </c>
      <c r="K62">
        <f t="shared" si="15"/>
        <v>710.99827596022863</v>
      </c>
      <c r="L62">
        <f t="shared" si="16"/>
        <v>658.33171810267049</v>
      </c>
      <c r="M62" s="28">
        <f t="shared" si="17"/>
        <v>684.6649970314495</v>
      </c>
      <c r="N62" s="29">
        <f t="shared" si="18"/>
        <v>37.240880202833004</v>
      </c>
      <c r="O62" s="30">
        <f t="shared" si="10"/>
        <v>5.4392849589654686E-2</v>
      </c>
      <c r="P62">
        <v>10.801</v>
      </c>
      <c r="Q62">
        <v>4.3400000000000001E-2</v>
      </c>
      <c r="R62">
        <v>0.99919999999999998</v>
      </c>
    </row>
    <row r="63" spans="1:18">
      <c r="A63" s="31">
        <v>2</v>
      </c>
      <c r="B63" t="s">
        <v>15</v>
      </c>
      <c r="C63" s="38">
        <v>0.34899999999999998</v>
      </c>
      <c r="D63" s="38">
        <v>0.36799999999999999</v>
      </c>
      <c r="E63">
        <v>2.7573463133225165</v>
      </c>
      <c r="F63">
        <v>2.9286100594916169</v>
      </c>
      <c r="G63">
        <f t="shared" si="21"/>
        <v>1.7667203133225164</v>
      </c>
      <c r="H63">
        <f t="shared" si="20"/>
        <v>1.9379840594916169</v>
      </c>
      <c r="I63">
        <f t="shared" si="13"/>
        <v>5161.3213944566651</v>
      </c>
      <c r="J63">
        <f t="shared" si="14"/>
        <v>5661.6536941034674</v>
      </c>
      <c r="K63">
        <f t="shared" si="15"/>
        <v>1032.2642788913331</v>
      </c>
      <c r="L63">
        <f t="shared" si="16"/>
        <v>1132.3307388206936</v>
      </c>
      <c r="M63" s="28">
        <f t="shared" si="17"/>
        <v>1082.2975088560133</v>
      </c>
      <c r="N63" s="29">
        <f t="shared" si="18"/>
        <v>70.757672385382719</v>
      </c>
      <c r="O63" s="30">
        <f t="shared" si="10"/>
        <v>6.5377284717372641E-2</v>
      </c>
      <c r="P63">
        <v>10.801</v>
      </c>
      <c r="Q63">
        <v>4.3400000000000001E-2</v>
      </c>
      <c r="R63">
        <v>0.99919999999999998</v>
      </c>
    </row>
    <row r="64" spans="1:18" ht="14">
      <c r="A64" s="31">
        <v>3</v>
      </c>
      <c r="B64" t="s">
        <v>28</v>
      </c>
      <c r="C64" s="16">
        <v>0.16</v>
      </c>
      <c r="D64" s="16">
        <v>0.14499999999999999</v>
      </c>
      <c r="E64" s="21">
        <f t="shared" ref="E64:E93" si="22">(C64-0.0434)/10.801*100</f>
        <v>1.0795296731784094</v>
      </c>
      <c r="F64" s="21">
        <f t="shared" ref="F64:F93" si="23">(D64-0.0434)/10.801*100</f>
        <v>0.94065364318118694</v>
      </c>
      <c r="I64" s="21"/>
      <c r="J64" s="21"/>
      <c r="K64" s="21"/>
      <c r="L64" s="21"/>
      <c r="M64" s="14"/>
      <c r="N64" s="14"/>
      <c r="O64" s="30" t="e">
        <f t="shared" si="10"/>
        <v>#DIV/0!</v>
      </c>
      <c r="P64">
        <v>10.801</v>
      </c>
      <c r="Q64">
        <v>4.3400000000000001E-2</v>
      </c>
      <c r="R64">
        <v>0.99919999999999998</v>
      </c>
    </row>
    <row r="65" spans="1:18" ht="14">
      <c r="A65" s="31">
        <v>3</v>
      </c>
      <c r="B65" t="s">
        <v>85</v>
      </c>
      <c r="C65" s="16">
        <v>0.189</v>
      </c>
      <c r="D65" s="16">
        <v>0.20799999999999999</v>
      </c>
      <c r="E65" s="21">
        <f t="shared" si="22"/>
        <v>1.3480233311730396</v>
      </c>
      <c r="F65" s="21">
        <f t="shared" si="23"/>
        <v>1.5239329691695214</v>
      </c>
      <c r="G65">
        <f t="shared" ref="G65:G93" si="24">E65-1.07953</f>
        <v>0.26849333117303953</v>
      </c>
      <c r="H65">
        <f t="shared" ref="H65:H93" si="25">F65-0.940654</f>
        <v>0.58327896916952138</v>
      </c>
      <c r="I65" s="21">
        <f t="shared" ref="I65:I93" si="26">G65/342.3*1000000</f>
        <v>784.38016702611606</v>
      </c>
      <c r="J65" s="21">
        <f t="shared" ref="J65:J93" si="27">H65/342.3*1000000</f>
        <v>1703.9993256486161</v>
      </c>
      <c r="K65" s="21">
        <f t="shared" ref="K65:K93" si="28">(I65*0.004)/(2*10)*1000</f>
        <v>156.87603340522321</v>
      </c>
      <c r="L65" s="21">
        <f t="shared" ref="L65:L93" si="29">(J65*0.004)/(2*10)*1000</f>
        <v>340.79986512972323</v>
      </c>
      <c r="M65" s="14">
        <f t="shared" ref="M65:M93" si="30">AVERAGE(K65:L65)</f>
        <v>248.83794926747322</v>
      </c>
      <c r="N65" s="14">
        <f t="shared" ref="N65:N93" si="31">STDEV(K65:L65)</f>
        <v>130.05378863420745</v>
      </c>
      <c r="O65" s="30">
        <f t="shared" si="10"/>
        <v>0.52264451229026176</v>
      </c>
      <c r="P65">
        <v>10.801</v>
      </c>
      <c r="Q65">
        <v>4.3400000000000001E-2</v>
      </c>
      <c r="R65">
        <v>0.99919999999999998</v>
      </c>
    </row>
    <row r="66" spans="1:18" ht="14">
      <c r="A66" s="31">
        <v>3</v>
      </c>
      <c r="B66" t="s">
        <v>84</v>
      </c>
      <c r="C66" s="16">
        <v>0.161</v>
      </c>
      <c r="D66" s="16">
        <v>0.14799999999999999</v>
      </c>
      <c r="E66" s="21">
        <f t="shared" si="22"/>
        <v>1.0887880751782244</v>
      </c>
      <c r="F66" s="21">
        <f t="shared" si="23"/>
        <v>0.96842884918063132</v>
      </c>
      <c r="G66">
        <f t="shared" si="24"/>
        <v>9.2580751782243009E-3</v>
      </c>
      <c r="H66">
        <f t="shared" si="25"/>
        <v>2.7774849180631334E-2</v>
      </c>
      <c r="I66" s="21">
        <f t="shared" si="26"/>
        <v>27.046670108747595</v>
      </c>
      <c r="J66" s="21">
        <f t="shared" si="27"/>
        <v>81.141832254254552</v>
      </c>
      <c r="K66" s="21">
        <f t="shared" si="28"/>
        <v>5.4093340217495189</v>
      </c>
      <c r="L66" s="21">
        <f t="shared" si="29"/>
        <v>16.228366450850913</v>
      </c>
      <c r="M66" s="14">
        <f t="shared" si="30"/>
        <v>10.818850236300216</v>
      </c>
      <c r="N66" s="14">
        <f t="shared" si="31"/>
        <v>7.6502111964947614</v>
      </c>
      <c r="O66" s="30">
        <f t="shared" si="10"/>
        <v>0.70711868908455722</v>
      </c>
      <c r="P66">
        <v>10.801</v>
      </c>
      <c r="Q66">
        <v>4.3400000000000001E-2</v>
      </c>
      <c r="R66">
        <v>0.99919999999999998</v>
      </c>
    </row>
    <row r="67" spans="1:18" ht="14">
      <c r="A67" s="31">
        <v>3</v>
      </c>
      <c r="B67" t="s">
        <v>83</v>
      </c>
      <c r="C67" s="16">
        <v>0.247</v>
      </c>
      <c r="D67" s="16">
        <v>0.224</v>
      </c>
      <c r="E67" s="21">
        <f t="shared" si="22"/>
        <v>1.8850106471623</v>
      </c>
      <c r="F67" s="21">
        <f t="shared" si="23"/>
        <v>1.6720674011665586</v>
      </c>
      <c r="G67">
        <f t="shared" si="24"/>
        <v>0.80548064716229995</v>
      </c>
      <c r="H67">
        <f t="shared" si="25"/>
        <v>0.73141340116655862</v>
      </c>
      <c r="I67" s="21">
        <f t="shared" si="26"/>
        <v>2353.1424106406657</v>
      </c>
      <c r="J67" s="21">
        <f t="shared" si="27"/>
        <v>2136.7613238871127</v>
      </c>
      <c r="K67" s="21">
        <f t="shared" si="28"/>
        <v>470.62848212813316</v>
      </c>
      <c r="L67" s="21">
        <f t="shared" si="29"/>
        <v>427.35226477742248</v>
      </c>
      <c r="M67" s="14">
        <f t="shared" si="30"/>
        <v>448.99037345277782</v>
      </c>
      <c r="N67" s="14">
        <f t="shared" si="31"/>
        <v>30.600906752790451</v>
      </c>
      <c r="O67" s="30">
        <f t="shared" si="10"/>
        <v>6.8154928395160519E-2</v>
      </c>
      <c r="P67">
        <v>10.801</v>
      </c>
      <c r="Q67">
        <v>4.3400000000000001E-2</v>
      </c>
      <c r="R67">
        <v>0.99919999999999998</v>
      </c>
    </row>
    <row r="68" spans="1:18" ht="14">
      <c r="A68" s="31">
        <v>3</v>
      </c>
      <c r="B68" t="s">
        <v>15</v>
      </c>
      <c r="C68" s="38">
        <v>0.34499999999999997</v>
      </c>
      <c r="D68" s="38">
        <v>0.35199999999999998</v>
      </c>
      <c r="E68" s="21">
        <f t="shared" si="22"/>
        <v>2.792334043144153</v>
      </c>
      <c r="F68" s="21">
        <f t="shared" si="23"/>
        <v>2.8571428571428572</v>
      </c>
      <c r="G68">
        <f t="shared" si="24"/>
        <v>1.7128040431441529</v>
      </c>
      <c r="H68">
        <f t="shared" si="25"/>
        <v>1.9164888571428573</v>
      </c>
      <c r="I68" s="21">
        <f t="shared" si="26"/>
        <v>5003.8096498514542</v>
      </c>
      <c r="J68" s="21">
        <f t="shared" si="27"/>
        <v>5598.8573097950839</v>
      </c>
      <c r="K68" s="21">
        <f t="shared" si="28"/>
        <v>1000.7619299702908</v>
      </c>
      <c r="L68" s="21">
        <f t="shared" si="29"/>
        <v>1119.771461959017</v>
      </c>
      <c r="M68" s="14">
        <f t="shared" si="30"/>
        <v>1060.266695964654</v>
      </c>
      <c r="N68" s="14">
        <f t="shared" si="31"/>
        <v>84.152447095065625</v>
      </c>
      <c r="O68" s="30">
        <f t="shared" ref="O68:O131" si="32">N68/M68</f>
        <v>7.9369131762175998E-2</v>
      </c>
      <c r="P68">
        <v>10.801</v>
      </c>
      <c r="Q68">
        <v>4.3400000000000001E-2</v>
      </c>
      <c r="R68">
        <v>0.99919999999999998</v>
      </c>
    </row>
    <row r="69" spans="1:18" ht="14">
      <c r="A69" s="31">
        <v>3</v>
      </c>
      <c r="B69" t="s">
        <v>82</v>
      </c>
      <c r="C69" s="16">
        <v>0.20599999999999999</v>
      </c>
      <c r="D69" s="16">
        <v>0.216</v>
      </c>
      <c r="E69" s="21">
        <f t="shared" si="22"/>
        <v>1.5054161651698916</v>
      </c>
      <c r="F69" s="21">
        <f t="shared" si="23"/>
        <v>1.5980001851680401</v>
      </c>
      <c r="G69">
        <f t="shared" si="24"/>
        <v>0.42588616516989153</v>
      </c>
      <c r="H69">
        <f t="shared" si="25"/>
        <v>0.65734618516804011</v>
      </c>
      <c r="I69" s="21">
        <f t="shared" si="26"/>
        <v>1244.1897901545178</v>
      </c>
      <c r="J69" s="21">
        <f t="shared" si="27"/>
        <v>1920.3803247678647</v>
      </c>
      <c r="K69" s="21">
        <f t="shared" si="28"/>
        <v>248.83795803090356</v>
      </c>
      <c r="L69" s="21">
        <f t="shared" si="29"/>
        <v>384.07606495357294</v>
      </c>
      <c r="M69" s="14">
        <f t="shared" si="30"/>
        <v>316.45701149223828</v>
      </c>
      <c r="N69" s="14">
        <f t="shared" si="31"/>
        <v>95.627782479850637</v>
      </c>
      <c r="O69" s="30">
        <f t="shared" si="32"/>
        <v>0.3021825366703752</v>
      </c>
      <c r="P69">
        <v>10.801</v>
      </c>
      <c r="Q69">
        <v>4.3400000000000001E-2</v>
      </c>
      <c r="R69">
        <v>0.99919999999999998</v>
      </c>
    </row>
    <row r="70" spans="1:18" ht="14">
      <c r="A70" s="31">
        <v>3</v>
      </c>
      <c r="B70" t="s">
        <v>81</v>
      </c>
      <c r="C70" s="16">
        <v>0.23100000000000001</v>
      </c>
      <c r="D70" s="16">
        <v>0.22700000000000001</v>
      </c>
      <c r="E70" s="21">
        <f t="shared" si="22"/>
        <v>1.7368762151652628</v>
      </c>
      <c r="F70" s="21">
        <f t="shared" si="23"/>
        <v>1.6998426071660033</v>
      </c>
      <c r="G70">
        <f t="shared" si="24"/>
        <v>0.6573462151652627</v>
      </c>
      <c r="H70">
        <f t="shared" si="25"/>
        <v>0.75918860716600334</v>
      </c>
      <c r="I70" s="21">
        <f t="shared" si="26"/>
        <v>1920.3804124021697</v>
      </c>
      <c r="J70" s="21">
        <f t="shared" si="27"/>
        <v>2217.9041985568315</v>
      </c>
      <c r="K70" s="21">
        <f t="shared" si="28"/>
        <v>384.07608248043397</v>
      </c>
      <c r="L70" s="21">
        <f t="shared" si="29"/>
        <v>443.58083971136637</v>
      </c>
      <c r="M70" s="14">
        <f t="shared" si="30"/>
        <v>413.82846109590014</v>
      </c>
      <c r="N70" s="14">
        <f t="shared" si="31"/>
        <v>42.076217350851543</v>
      </c>
      <c r="O70" s="30">
        <f t="shared" si="32"/>
        <v>0.10167550399850543</v>
      </c>
      <c r="P70">
        <v>10.801</v>
      </c>
      <c r="Q70">
        <v>4.3400000000000001E-2</v>
      </c>
      <c r="R70">
        <v>0.99919999999999998</v>
      </c>
    </row>
    <row r="71" spans="1:18" ht="14">
      <c r="A71" s="31">
        <v>3</v>
      </c>
      <c r="B71" t="s">
        <v>80</v>
      </c>
      <c r="C71" s="16">
        <v>0.27200000000000002</v>
      </c>
      <c r="D71" s="16">
        <v>0.25700000000000001</v>
      </c>
      <c r="E71" s="21">
        <f t="shared" si="22"/>
        <v>2.1164706971576708</v>
      </c>
      <c r="F71" s="21">
        <f t="shared" si="23"/>
        <v>1.9775946671604483</v>
      </c>
      <c r="G71">
        <f t="shared" si="24"/>
        <v>1.0369406971576707</v>
      </c>
      <c r="H71">
        <f t="shared" si="25"/>
        <v>1.0369406671604482</v>
      </c>
      <c r="I71" s="21">
        <f t="shared" si="26"/>
        <v>3029.3330328883162</v>
      </c>
      <c r="J71" s="21">
        <f t="shared" si="27"/>
        <v>3029.3329452540115</v>
      </c>
      <c r="K71" s="21">
        <f t="shared" si="28"/>
        <v>605.86660657766322</v>
      </c>
      <c r="L71" s="21">
        <f t="shared" si="29"/>
        <v>605.86658905080242</v>
      </c>
      <c r="M71" s="14">
        <f t="shared" si="30"/>
        <v>605.86659781423282</v>
      </c>
      <c r="N71" s="14">
        <f t="shared" si="31"/>
        <v>1.2393362125871588E-5</v>
      </c>
      <c r="O71" s="30">
        <f t="shared" si="32"/>
        <v>2.0455595622176164E-8</v>
      </c>
      <c r="P71">
        <v>10.801</v>
      </c>
      <c r="Q71">
        <v>4.3400000000000001E-2</v>
      </c>
      <c r="R71">
        <v>0.99919999999999998</v>
      </c>
    </row>
    <row r="72" spans="1:18" ht="14">
      <c r="A72" s="31">
        <v>3</v>
      </c>
      <c r="B72" t="s">
        <v>79</v>
      </c>
      <c r="C72" s="16">
        <v>0.218</v>
      </c>
      <c r="D72" s="16">
        <v>0.20599999999999999</v>
      </c>
      <c r="E72" s="21">
        <f t="shared" si="22"/>
        <v>1.6165169891676698</v>
      </c>
      <c r="F72" s="21">
        <f t="shared" si="23"/>
        <v>1.5054161651698916</v>
      </c>
      <c r="G72">
        <f t="shared" si="24"/>
        <v>0.53698698916766974</v>
      </c>
      <c r="H72">
        <f t="shared" si="25"/>
        <v>0.56476216516989164</v>
      </c>
      <c r="I72" s="21">
        <f t="shared" si="26"/>
        <v>1568.7612888333908</v>
      </c>
      <c r="J72" s="21">
        <f t="shared" si="27"/>
        <v>1649.9040758688041</v>
      </c>
      <c r="K72" s="21">
        <f t="shared" si="28"/>
        <v>313.75225776667816</v>
      </c>
      <c r="L72" s="21">
        <f t="shared" si="29"/>
        <v>329.98081517376085</v>
      </c>
      <c r="M72" s="14">
        <f t="shared" si="30"/>
        <v>321.8665364702195</v>
      </c>
      <c r="N72" s="14">
        <f t="shared" si="31"/>
        <v>11.475322991423344</v>
      </c>
      <c r="O72" s="30">
        <f t="shared" si="32"/>
        <v>3.5652426366743754E-2</v>
      </c>
      <c r="P72">
        <v>10.801</v>
      </c>
      <c r="Q72">
        <v>4.3400000000000001E-2</v>
      </c>
      <c r="R72">
        <v>0.99919999999999998</v>
      </c>
    </row>
    <row r="73" spans="1:18" ht="14">
      <c r="A73" s="31">
        <v>3</v>
      </c>
      <c r="B73" t="s">
        <v>78</v>
      </c>
      <c r="C73" s="16">
        <v>0.26200000000000001</v>
      </c>
      <c r="D73" s="16">
        <v>0.246</v>
      </c>
      <c r="E73" s="21">
        <f t="shared" si="22"/>
        <v>2.0238866771595223</v>
      </c>
      <c r="F73" s="21">
        <f t="shared" si="23"/>
        <v>1.8757522451624851</v>
      </c>
      <c r="G73">
        <f t="shared" si="24"/>
        <v>0.94435667715952221</v>
      </c>
      <c r="H73">
        <f t="shared" si="25"/>
        <v>0.93509824516248508</v>
      </c>
      <c r="I73" s="21">
        <f t="shared" si="26"/>
        <v>2758.8567839892557</v>
      </c>
      <c r="J73" s="21">
        <f t="shared" si="27"/>
        <v>2731.8090714650452</v>
      </c>
      <c r="K73" s="21">
        <f t="shared" si="28"/>
        <v>551.77135679785113</v>
      </c>
      <c r="L73" s="21">
        <f t="shared" si="29"/>
        <v>546.36181429300905</v>
      </c>
      <c r="M73" s="14">
        <f t="shared" si="30"/>
        <v>549.06658554543014</v>
      </c>
      <c r="N73" s="14">
        <f t="shared" si="31"/>
        <v>3.8251241882906966</v>
      </c>
      <c r="O73" s="30">
        <f t="shared" si="32"/>
        <v>6.9665943785140487E-3</v>
      </c>
      <c r="P73">
        <v>10.801</v>
      </c>
      <c r="Q73">
        <v>4.3400000000000001E-2</v>
      </c>
      <c r="R73">
        <v>0.99919999999999998</v>
      </c>
    </row>
    <row r="74" spans="1:18" ht="14">
      <c r="A74" s="31">
        <v>3</v>
      </c>
      <c r="B74" t="s">
        <v>77</v>
      </c>
      <c r="C74" s="16">
        <v>0.27400000000000002</v>
      </c>
      <c r="D74" s="16">
        <v>0.26</v>
      </c>
      <c r="E74" s="21">
        <f t="shared" si="22"/>
        <v>2.1349875011573003</v>
      </c>
      <c r="F74" s="21">
        <f t="shared" si="23"/>
        <v>2.0053698731598923</v>
      </c>
      <c r="G74">
        <f t="shared" si="24"/>
        <v>1.0554575011573002</v>
      </c>
      <c r="H74">
        <f t="shared" si="25"/>
        <v>1.0647158731598925</v>
      </c>
      <c r="I74" s="21">
        <f t="shared" si="26"/>
        <v>3083.4282826681278</v>
      </c>
      <c r="J74" s="21">
        <f t="shared" si="27"/>
        <v>3110.475819923729</v>
      </c>
      <c r="K74" s="21">
        <f t="shared" si="28"/>
        <v>616.68565653362566</v>
      </c>
      <c r="L74" s="21">
        <f t="shared" si="29"/>
        <v>622.0951639847458</v>
      </c>
      <c r="M74" s="14">
        <f t="shared" si="30"/>
        <v>619.39041025918573</v>
      </c>
      <c r="N74" s="14">
        <f t="shared" si="31"/>
        <v>3.8250994015662036</v>
      </c>
      <c r="O74" s="30">
        <f t="shared" si="32"/>
        <v>6.175587058194168E-3</v>
      </c>
      <c r="P74">
        <v>10.801</v>
      </c>
      <c r="Q74">
        <v>4.3400000000000001E-2</v>
      </c>
      <c r="R74">
        <v>0.99919999999999998</v>
      </c>
    </row>
    <row r="75" spans="1:18" ht="14">
      <c r="A75" s="31">
        <v>3</v>
      </c>
      <c r="B75" t="s">
        <v>76</v>
      </c>
      <c r="C75" s="16">
        <v>0.28699999999999998</v>
      </c>
      <c r="D75" s="16">
        <v>0.28599999999999998</v>
      </c>
      <c r="E75" s="21">
        <f t="shared" si="22"/>
        <v>2.255346727154893</v>
      </c>
      <c r="F75" s="21">
        <f t="shared" si="23"/>
        <v>2.2460883251550783</v>
      </c>
      <c r="G75">
        <f t="shared" si="24"/>
        <v>1.1758167271548929</v>
      </c>
      <c r="H75">
        <f t="shared" si="25"/>
        <v>1.3054343251550784</v>
      </c>
      <c r="I75" s="21">
        <f t="shared" si="26"/>
        <v>3435.0474062369058</v>
      </c>
      <c r="J75" s="21">
        <f t="shared" si="27"/>
        <v>3813.7140670612862</v>
      </c>
      <c r="K75" s="21">
        <f t="shared" si="28"/>
        <v>687.00948124738113</v>
      </c>
      <c r="L75" s="21">
        <f t="shared" si="29"/>
        <v>762.74281341225719</v>
      </c>
      <c r="M75" s="14">
        <f t="shared" si="30"/>
        <v>724.8761473298191</v>
      </c>
      <c r="N75" s="14">
        <f t="shared" si="31"/>
        <v>53.551552735637138</v>
      </c>
      <c r="O75" s="30">
        <f t="shared" si="32"/>
        <v>7.3876831142674015E-2</v>
      </c>
      <c r="P75">
        <v>10.801</v>
      </c>
      <c r="Q75">
        <v>4.3400000000000001E-2</v>
      </c>
      <c r="R75">
        <v>0.99919999999999998</v>
      </c>
    </row>
    <row r="76" spans="1:18" ht="14">
      <c r="A76" s="31">
        <v>3</v>
      </c>
      <c r="B76" t="s">
        <v>75</v>
      </c>
      <c r="C76" s="16">
        <v>0.20599999999999999</v>
      </c>
      <c r="D76" s="16">
        <v>0.2</v>
      </c>
      <c r="E76" s="21">
        <f t="shared" si="22"/>
        <v>1.5054161651698916</v>
      </c>
      <c r="F76" s="21">
        <f t="shared" si="23"/>
        <v>1.4498657531710029</v>
      </c>
      <c r="G76">
        <f t="shared" si="24"/>
        <v>0.42588616516989153</v>
      </c>
      <c r="H76">
        <f t="shared" si="25"/>
        <v>0.50921175317100287</v>
      </c>
      <c r="I76" s="21">
        <f t="shared" si="26"/>
        <v>1244.1897901545178</v>
      </c>
      <c r="J76" s="21">
        <f t="shared" si="27"/>
        <v>1487.6183265293685</v>
      </c>
      <c r="K76" s="21">
        <f t="shared" si="28"/>
        <v>248.83795803090356</v>
      </c>
      <c r="L76" s="21">
        <f t="shared" si="29"/>
        <v>297.52366530587369</v>
      </c>
      <c r="M76" s="14">
        <f t="shared" si="30"/>
        <v>273.18081166838863</v>
      </c>
      <c r="N76" s="14">
        <f t="shared" si="31"/>
        <v>34.425993760994608</v>
      </c>
      <c r="O76" s="30">
        <f t="shared" si="32"/>
        <v>0.12601907707479823</v>
      </c>
      <c r="P76">
        <v>10.801</v>
      </c>
      <c r="Q76">
        <v>4.3400000000000001E-2</v>
      </c>
      <c r="R76">
        <v>0.99919999999999998</v>
      </c>
    </row>
    <row r="77" spans="1:18" ht="14">
      <c r="A77" s="31">
        <v>3</v>
      </c>
      <c r="B77" t="s">
        <v>74</v>
      </c>
      <c r="C77" s="16">
        <v>0.23799999999999999</v>
      </c>
      <c r="D77" s="16">
        <v>0.25800000000000001</v>
      </c>
      <c r="E77" s="21">
        <f t="shared" si="22"/>
        <v>1.8016850291639661</v>
      </c>
      <c r="F77" s="21">
        <f t="shared" si="23"/>
        <v>1.9868530691602633</v>
      </c>
      <c r="G77">
        <f t="shared" si="24"/>
        <v>0.72215502916396601</v>
      </c>
      <c r="H77">
        <f t="shared" si="25"/>
        <v>1.0461990691602634</v>
      </c>
      <c r="I77" s="21">
        <f t="shared" si="26"/>
        <v>2109.7137866315106</v>
      </c>
      <c r="J77" s="21">
        <f t="shared" si="27"/>
        <v>3056.3805701439187</v>
      </c>
      <c r="K77" s="21">
        <f t="shared" si="28"/>
        <v>421.94275732630217</v>
      </c>
      <c r="L77" s="21">
        <f t="shared" si="29"/>
        <v>611.2761140287837</v>
      </c>
      <c r="M77" s="14">
        <f t="shared" si="30"/>
        <v>516.60943567754293</v>
      </c>
      <c r="N77" s="14">
        <f t="shared" si="31"/>
        <v>133.8789004291358</v>
      </c>
      <c r="O77" s="30">
        <f t="shared" si="32"/>
        <v>0.25914915830670249</v>
      </c>
      <c r="P77">
        <v>10.801</v>
      </c>
      <c r="Q77">
        <v>4.3400000000000001E-2</v>
      </c>
      <c r="R77">
        <v>0.99919999999999998</v>
      </c>
    </row>
    <row r="78" spans="1:18" ht="14">
      <c r="A78" s="31">
        <v>3</v>
      </c>
      <c r="B78" t="s">
        <v>73</v>
      </c>
      <c r="C78" s="16">
        <v>0.317</v>
      </c>
      <c r="D78" s="16">
        <v>0.29799999999999999</v>
      </c>
      <c r="E78" s="21">
        <f t="shared" si="22"/>
        <v>2.533098787149338</v>
      </c>
      <c r="F78" s="21">
        <f t="shared" si="23"/>
        <v>2.3571891491528563</v>
      </c>
      <c r="G78">
        <f t="shared" si="24"/>
        <v>1.4535687871493379</v>
      </c>
      <c r="H78">
        <f t="shared" si="25"/>
        <v>1.4165351491528564</v>
      </c>
      <c r="I78" s="21">
        <f t="shared" si="26"/>
        <v>4246.4761529340867</v>
      </c>
      <c r="J78" s="21">
        <f t="shared" si="27"/>
        <v>4138.2855657401587</v>
      </c>
      <c r="K78" s="21">
        <f t="shared" si="28"/>
        <v>849.29523058681741</v>
      </c>
      <c r="L78" s="21">
        <f t="shared" si="29"/>
        <v>827.65711314803173</v>
      </c>
      <c r="M78" s="14">
        <f t="shared" si="30"/>
        <v>838.47617186742457</v>
      </c>
      <c r="N78" s="14">
        <f t="shared" si="31"/>
        <v>15.300459573076248</v>
      </c>
      <c r="O78" s="30">
        <f t="shared" si="32"/>
        <v>1.8247936061199694E-2</v>
      </c>
      <c r="P78">
        <v>10.801</v>
      </c>
      <c r="Q78">
        <v>4.3400000000000001E-2</v>
      </c>
      <c r="R78">
        <v>0.99919999999999998</v>
      </c>
    </row>
    <row r="79" spans="1:18" ht="14">
      <c r="A79" s="31">
        <v>3</v>
      </c>
      <c r="B79" t="s">
        <v>72</v>
      </c>
      <c r="C79" s="16">
        <v>0.216</v>
      </c>
      <c r="D79" s="16">
        <v>0.22500000000000001</v>
      </c>
      <c r="E79" s="21">
        <f t="shared" si="22"/>
        <v>1.5980001851680401</v>
      </c>
      <c r="F79" s="21">
        <f t="shared" si="23"/>
        <v>1.6813258031663736</v>
      </c>
      <c r="G79">
        <f t="shared" si="24"/>
        <v>0.51847018516804</v>
      </c>
      <c r="H79">
        <f t="shared" si="25"/>
        <v>0.7406718031663736</v>
      </c>
      <c r="I79" s="21">
        <f t="shared" si="26"/>
        <v>1514.6660390535787</v>
      </c>
      <c r="J79" s="21">
        <f t="shared" si="27"/>
        <v>2163.8089487770189</v>
      </c>
      <c r="K79" s="21">
        <f t="shared" si="28"/>
        <v>302.93320781071577</v>
      </c>
      <c r="L79" s="21">
        <f t="shared" si="29"/>
        <v>432.76178975540381</v>
      </c>
      <c r="M79" s="14">
        <f t="shared" si="30"/>
        <v>367.84749878305979</v>
      </c>
      <c r="N79" s="14">
        <f t="shared" si="31"/>
        <v>91.802670684922504</v>
      </c>
      <c r="O79" s="30">
        <f t="shared" si="32"/>
        <v>0.24956720105106292</v>
      </c>
      <c r="P79">
        <v>10.801</v>
      </c>
      <c r="Q79">
        <v>4.3400000000000001E-2</v>
      </c>
      <c r="R79">
        <v>0.99919999999999998</v>
      </c>
    </row>
    <row r="80" spans="1:18" ht="14">
      <c r="A80" s="31">
        <v>3</v>
      </c>
      <c r="B80" t="s">
        <v>71</v>
      </c>
      <c r="C80" s="16">
        <v>0.30399999999999999</v>
      </c>
      <c r="D80" s="16">
        <v>0.314</v>
      </c>
      <c r="E80" s="21">
        <f t="shared" si="22"/>
        <v>2.4127395611517453</v>
      </c>
      <c r="F80" s="21">
        <f t="shared" si="23"/>
        <v>2.5053235811498933</v>
      </c>
      <c r="G80">
        <f t="shared" si="24"/>
        <v>1.3332095611517452</v>
      </c>
      <c r="H80">
        <f t="shared" si="25"/>
        <v>1.5646695811498934</v>
      </c>
      <c r="I80" s="21">
        <f t="shared" si="26"/>
        <v>3894.8570293653088</v>
      </c>
      <c r="J80" s="21">
        <f t="shared" si="27"/>
        <v>4571.0475639786546</v>
      </c>
      <c r="K80" s="21">
        <f t="shared" si="28"/>
        <v>778.97140587306183</v>
      </c>
      <c r="L80" s="21">
        <f t="shared" si="29"/>
        <v>914.20951279573103</v>
      </c>
      <c r="M80" s="14">
        <f t="shared" si="30"/>
        <v>846.59045933439643</v>
      </c>
      <c r="N80" s="14">
        <f t="shared" si="31"/>
        <v>95.627782479850779</v>
      </c>
      <c r="O80" s="30">
        <f t="shared" si="32"/>
        <v>0.11295636683058646</v>
      </c>
      <c r="P80">
        <v>10.801</v>
      </c>
      <c r="Q80">
        <v>4.3400000000000001E-2</v>
      </c>
      <c r="R80">
        <v>0.99919999999999998</v>
      </c>
    </row>
    <row r="81" spans="1:18" ht="14">
      <c r="A81" s="31">
        <v>3</v>
      </c>
      <c r="B81" t="s">
        <v>145</v>
      </c>
      <c r="C81" s="16">
        <v>0.27</v>
      </c>
      <c r="D81" s="16">
        <v>0.27100000000000002</v>
      </c>
      <c r="E81" s="21">
        <f t="shared" si="22"/>
        <v>2.0979538931580413</v>
      </c>
      <c r="F81" s="21">
        <f t="shared" si="23"/>
        <v>2.107212295157856</v>
      </c>
      <c r="G81">
        <f t="shared" si="24"/>
        <v>1.0184238931580412</v>
      </c>
      <c r="H81">
        <f t="shared" si="25"/>
        <v>1.1665582951578561</v>
      </c>
      <c r="I81" s="21">
        <f t="shared" si="26"/>
        <v>2975.2377831085046</v>
      </c>
      <c r="J81" s="21">
        <f t="shared" si="27"/>
        <v>3407.9996937126966</v>
      </c>
      <c r="K81" s="21">
        <f t="shared" si="28"/>
        <v>595.04755662170089</v>
      </c>
      <c r="L81" s="21">
        <f t="shared" si="29"/>
        <v>681.59993874253928</v>
      </c>
      <c r="M81" s="14">
        <f t="shared" si="30"/>
        <v>638.32374768212003</v>
      </c>
      <c r="N81" s="14">
        <f t="shared" si="31"/>
        <v>61.201776325494116</v>
      </c>
      <c r="O81" s="30">
        <f t="shared" si="32"/>
        <v>9.5878896167861355E-2</v>
      </c>
      <c r="P81">
        <v>10.801</v>
      </c>
      <c r="Q81">
        <v>4.3400000000000001E-2</v>
      </c>
      <c r="R81">
        <v>0.99919999999999998</v>
      </c>
    </row>
    <row r="82" spans="1:18" ht="14">
      <c r="A82" s="31">
        <v>3</v>
      </c>
      <c r="B82" t="s">
        <v>70</v>
      </c>
      <c r="C82" s="16">
        <v>0.255</v>
      </c>
      <c r="D82" s="16">
        <v>0.26800000000000002</v>
      </c>
      <c r="E82" s="21">
        <f t="shared" si="22"/>
        <v>1.9590778631608186</v>
      </c>
      <c r="F82" s="21">
        <f t="shared" si="23"/>
        <v>2.0794370891584113</v>
      </c>
      <c r="G82">
        <f t="shared" si="24"/>
        <v>0.87954786316081845</v>
      </c>
      <c r="H82">
        <f t="shared" si="25"/>
        <v>1.1387830891584114</v>
      </c>
      <c r="I82" s="21">
        <f t="shared" si="26"/>
        <v>2569.5234097599136</v>
      </c>
      <c r="J82" s="21">
        <f t="shared" si="27"/>
        <v>3326.8568190429778</v>
      </c>
      <c r="K82" s="21">
        <f t="shared" si="28"/>
        <v>513.90468195198275</v>
      </c>
      <c r="L82" s="21">
        <f t="shared" si="29"/>
        <v>665.37136380859556</v>
      </c>
      <c r="M82" s="14">
        <f t="shared" si="30"/>
        <v>589.6380228802891</v>
      </c>
      <c r="N82" s="14">
        <f t="shared" si="31"/>
        <v>107.10311786463662</v>
      </c>
      <c r="O82" s="30">
        <f t="shared" si="32"/>
        <v>0.18164214943509699</v>
      </c>
      <c r="P82">
        <v>10.801</v>
      </c>
      <c r="Q82">
        <v>4.3400000000000001E-2</v>
      </c>
      <c r="R82">
        <v>0.99919999999999998</v>
      </c>
    </row>
    <row r="83" spans="1:18" ht="14">
      <c r="A83" s="31">
        <v>3</v>
      </c>
      <c r="B83" t="s">
        <v>69</v>
      </c>
      <c r="C83" s="16">
        <v>0.23899999999999999</v>
      </c>
      <c r="D83" s="16">
        <v>0.245</v>
      </c>
      <c r="E83" s="21">
        <f t="shared" si="22"/>
        <v>1.8109434311637811</v>
      </c>
      <c r="F83" s="21">
        <f t="shared" si="23"/>
        <v>1.8664938431626703</v>
      </c>
      <c r="G83">
        <f t="shared" si="24"/>
        <v>0.73141343116378099</v>
      </c>
      <c r="H83">
        <f t="shared" si="25"/>
        <v>0.92583984316267032</v>
      </c>
      <c r="I83" s="21">
        <f t="shared" si="26"/>
        <v>2136.7614115214169</v>
      </c>
      <c r="J83" s="21">
        <f t="shared" si="27"/>
        <v>2704.7614465751399</v>
      </c>
      <c r="K83" s="21">
        <f t="shared" si="28"/>
        <v>427.35228230428334</v>
      </c>
      <c r="L83" s="21">
        <f t="shared" si="29"/>
        <v>540.952289315028</v>
      </c>
      <c r="M83" s="14">
        <f t="shared" si="30"/>
        <v>484.15228580965567</v>
      </c>
      <c r="N83" s="14">
        <f t="shared" si="31"/>
        <v>80.327335300137122</v>
      </c>
      <c r="O83" s="30">
        <f t="shared" si="32"/>
        <v>0.16591336580349803</v>
      </c>
      <c r="P83">
        <v>10.801</v>
      </c>
      <c r="Q83">
        <v>4.3400000000000001E-2</v>
      </c>
      <c r="R83">
        <v>0.99919999999999998</v>
      </c>
    </row>
    <row r="84" spans="1:18" ht="14">
      <c r="A84" s="31">
        <v>3</v>
      </c>
      <c r="B84" t="s">
        <v>68</v>
      </c>
      <c r="C84" s="16">
        <v>0.24099999999999999</v>
      </c>
      <c r="D84" s="16">
        <v>0.248</v>
      </c>
      <c r="E84" s="21">
        <f t="shared" si="22"/>
        <v>1.8294602351634108</v>
      </c>
      <c r="F84" s="21">
        <f t="shared" si="23"/>
        <v>1.8942690491621144</v>
      </c>
      <c r="G84">
        <f t="shared" si="24"/>
        <v>0.74993023516341073</v>
      </c>
      <c r="H84">
        <f t="shared" si="25"/>
        <v>0.95361504916211437</v>
      </c>
      <c r="I84" s="21">
        <f t="shared" si="26"/>
        <v>2190.856661301229</v>
      </c>
      <c r="J84" s="21">
        <f t="shared" si="27"/>
        <v>2785.9043212448564</v>
      </c>
      <c r="K84" s="21">
        <f t="shared" si="28"/>
        <v>438.17133226024578</v>
      </c>
      <c r="L84" s="21">
        <f t="shared" si="29"/>
        <v>557.18086424897126</v>
      </c>
      <c r="M84" s="14">
        <f t="shared" si="30"/>
        <v>497.67609825460852</v>
      </c>
      <c r="N84" s="14">
        <f t="shared" si="31"/>
        <v>84.152447095065511</v>
      </c>
      <c r="O84" s="30">
        <f t="shared" si="32"/>
        <v>0.16909079497728571</v>
      </c>
      <c r="P84">
        <v>10.801</v>
      </c>
      <c r="Q84">
        <v>4.3400000000000001E-2</v>
      </c>
      <c r="R84">
        <v>0.99919999999999998</v>
      </c>
    </row>
    <row r="85" spans="1:18" ht="14">
      <c r="A85" s="31">
        <v>3</v>
      </c>
      <c r="B85" t="s">
        <v>67</v>
      </c>
      <c r="C85" s="16">
        <v>0.28399999999999997</v>
      </c>
      <c r="D85" s="16">
        <v>0.28999999999999998</v>
      </c>
      <c r="E85" s="21">
        <f t="shared" si="22"/>
        <v>2.2275715211554483</v>
      </c>
      <c r="F85" s="21">
        <f t="shared" si="23"/>
        <v>2.2831219331543373</v>
      </c>
      <c r="G85">
        <f t="shared" si="24"/>
        <v>1.1480415211554482</v>
      </c>
      <c r="H85">
        <f t="shared" si="25"/>
        <v>1.3424679331543374</v>
      </c>
      <c r="I85" s="21">
        <f t="shared" si="26"/>
        <v>3353.9045315671874</v>
      </c>
      <c r="J85" s="21">
        <f t="shared" si="27"/>
        <v>3921.9045666209095</v>
      </c>
      <c r="K85" s="21">
        <f t="shared" si="28"/>
        <v>670.78090631343753</v>
      </c>
      <c r="L85" s="21">
        <f t="shared" si="29"/>
        <v>784.38091332418196</v>
      </c>
      <c r="M85" s="14">
        <f t="shared" si="30"/>
        <v>727.58090981880969</v>
      </c>
      <c r="N85" s="14">
        <f t="shared" si="31"/>
        <v>80.327335300136724</v>
      </c>
      <c r="O85" s="30">
        <f t="shared" si="32"/>
        <v>0.11040330252774325</v>
      </c>
      <c r="P85">
        <v>10.801</v>
      </c>
      <c r="Q85">
        <v>4.3400000000000001E-2</v>
      </c>
      <c r="R85">
        <v>0.99919999999999998</v>
      </c>
    </row>
    <row r="86" spans="1:18" ht="14">
      <c r="A86" s="31">
        <v>3</v>
      </c>
      <c r="B86" t="s">
        <v>66</v>
      </c>
      <c r="C86" s="16">
        <v>0.24199999999999999</v>
      </c>
      <c r="D86" s="16">
        <v>0.247</v>
      </c>
      <c r="E86" s="21">
        <f t="shared" si="22"/>
        <v>1.8387186371632256</v>
      </c>
      <c r="F86" s="21">
        <f t="shared" si="23"/>
        <v>1.8850106471623</v>
      </c>
      <c r="G86">
        <f t="shared" si="24"/>
        <v>0.75918863716322549</v>
      </c>
      <c r="H86">
        <f t="shared" si="25"/>
        <v>0.94435664716230006</v>
      </c>
      <c r="I86" s="21">
        <f t="shared" si="26"/>
        <v>2217.9042861911348</v>
      </c>
      <c r="J86" s="21">
        <f t="shared" si="27"/>
        <v>2758.856696354952</v>
      </c>
      <c r="K86" s="21">
        <f t="shared" si="28"/>
        <v>443.58085723822694</v>
      </c>
      <c r="L86" s="21">
        <f t="shared" si="29"/>
        <v>551.77133927099044</v>
      </c>
      <c r="M86" s="14">
        <f t="shared" si="30"/>
        <v>497.67609825460869</v>
      </c>
      <c r="N86" s="14">
        <f t="shared" si="31"/>
        <v>76.50222350520869</v>
      </c>
      <c r="O86" s="30">
        <f t="shared" si="32"/>
        <v>0.15371890226094506</v>
      </c>
      <c r="P86">
        <v>10.801</v>
      </c>
      <c r="Q86">
        <v>4.3400000000000001E-2</v>
      </c>
      <c r="R86">
        <v>0.99919999999999998</v>
      </c>
    </row>
    <row r="87" spans="1:18" ht="14">
      <c r="A87" s="31">
        <v>3</v>
      </c>
      <c r="B87" t="s">
        <v>65</v>
      </c>
      <c r="C87" s="16">
        <v>0.252</v>
      </c>
      <c r="D87" s="16">
        <v>0.25600000000000001</v>
      </c>
      <c r="E87" s="21">
        <f t="shared" si="22"/>
        <v>1.9313026571613738</v>
      </c>
      <c r="F87" s="21">
        <f t="shared" si="23"/>
        <v>1.9683362651606333</v>
      </c>
      <c r="G87">
        <f t="shared" si="24"/>
        <v>0.85177265716137374</v>
      </c>
      <c r="H87">
        <f t="shared" si="25"/>
        <v>1.0276822651606334</v>
      </c>
      <c r="I87" s="21">
        <f t="shared" si="26"/>
        <v>2488.3805350901948</v>
      </c>
      <c r="J87" s="21">
        <f t="shared" si="27"/>
        <v>3002.2853203641057</v>
      </c>
      <c r="K87" s="21">
        <f t="shared" si="28"/>
        <v>497.67610701803898</v>
      </c>
      <c r="L87" s="21">
        <f t="shared" si="29"/>
        <v>600.45706407282103</v>
      </c>
      <c r="M87" s="14">
        <f t="shared" si="30"/>
        <v>549.06658554543003</v>
      </c>
      <c r="N87" s="14">
        <f t="shared" si="31"/>
        <v>72.677111710279718</v>
      </c>
      <c r="O87" s="30">
        <f t="shared" si="32"/>
        <v>0.13236484175791532</v>
      </c>
      <c r="P87">
        <v>10.801</v>
      </c>
      <c r="Q87">
        <v>4.3400000000000001E-2</v>
      </c>
      <c r="R87">
        <v>0.99919999999999998</v>
      </c>
    </row>
    <row r="88" spans="1:18" ht="14">
      <c r="A88" s="31">
        <v>3</v>
      </c>
      <c r="B88" t="s">
        <v>64</v>
      </c>
      <c r="C88" s="16">
        <v>0.22700000000000001</v>
      </c>
      <c r="D88" s="16">
        <v>0.215</v>
      </c>
      <c r="E88" s="21">
        <f t="shared" si="22"/>
        <v>1.6998426071660033</v>
      </c>
      <c r="F88" s="21">
        <f t="shared" si="23"/>
        <v>1.5887417831682251</v>
      </c>
      <c r="G88">
        <f t="shared" si="24"/>
        <v>0.62031260716600323</v>
      </c>
      <c r="H88">
        <f t="shared" si="25"/>
        <v>0.64808778316822513</v>
      </c>
      <c r="I88" s="21">
        <f t="shared" si="26"/>
        <v>1812.189912842545</v>
      </c>
      <c r="J88" s="21">
        <f t="shared" si="27"/>
        <v>1893.3326998779582</v>
      </c>
      <c r="K88" s="21">
        <f t="shared" si="28"/>
        <v>362.43798256850903</v>
      </c>
      <c r="L88" s="21">
        <f t="shared" si="29"/>
        <v>378.6665399755916</v>
      </c>
      <c r="M88" s="14">
        <f t="shared" si="30"/>
        <v>370.55226127205032</v>
      </c>
      <c r="N88" s="14">
        <f t="shared" si="31"/>
        <v>11.475322991423264</v>
      </c>
      <c r="O88" s="30">
        <f t="shared" si="32"/>
        <v>3.0968163443478126E-2</v>
      </c>
      <c r="P88">
        <v>10.801</v>
      </c>
      <c r="Q88">
        <v>4.3400000000000001E-2</v>
      </c>
      <c r="R88">
        <v>0.99919999999999998</v>
      </c>
    </row>
    <row r="89" spans="1:18" ht="14">
      <c r="A89" s="31">
        <v>3</v>
      </c>
      <c r="B89" t="s">
        <v>63</v>
      </c>
      <c r="C89" s="16">
        <v>0.253</v>
      </c>
      <c r="D89" s="16">
        <v>0.26600000000000001</v>
      </c>
      <c r="E89" s="21">
        <f t="shared" si="22"/>
        <v>1.9405610591611888</v>
      </c>
      <c r="F89" s="21">
        <f t="shared" si="23"/>
        <v>2.0609202851587818</v>
      </c>
      <c r="G89">
        <f t="shared" si="24"/>
        <v>0.86103105916118872</v>
      </c>
      <c r="H89">
        <f t="shared" si="25"/>
        <v>1.1202662851587819</v>
      </c>
      <c r="I89" s="21">
        <f t="shared" si="26"/>
        <v>2515.4281599801011</v>
      </c>
      <c r="J89" s="21">
        <f t="shared" si="27"/>
        <v>3272.7615692631666</v>
      </c>
      <c r="K89" s="21">
        <f t="shared" si="28"/>
        <v>503.0856319960202</v>
      </c>
      <c r="L89" s="21">
        <f t="shared" si="29"/>
        <v>654.55231385263335</v>
      </c>
      <c r="M89" s="14">
        <f t="shared" si="30"/>
        <v>578.81897292432677</v>
      </c>
      <c r="N89" s="14">
        <f t="shared" si="31"/>
        <v>107.10311786463608</v>
      </c>
      <c r="O89" s="30">
        <f t="shared" si="32"/>
        <v>0.18503733096986516</v>
      </c>
      <c r="P89">
        <v>10.801</v>
      </c>
      <c r="Q89">
        <v>4.3400000000000001E-2</v>
      </c>
      <c r="R89">
        <v>0.99919999999999998</v>
      </c>
    </row>
    <row r="90" spans="1:18" ht="14">
      <c r="A90" s="31">
        <v>3</v>
      </c>
      <c r="B90" t="s">
        <v>62</v>
      </c>
      <c r="C90" s="16">
        <v>0.30299999999999999</v>
      </c>
      <c r="D90" s="16">
        <v>0.32</v>
      </c>
      <c r="E90" s="21">
        <f t="shared" si="22"/>
        <v>2.4034811591519301</v>
      </c>
      <c r="F90" s="21">
        <f t="shared" si="23"/>
        <v>2.5608739931487827</v>
      </c>
      <c r="G90">
        <f t="shared" si="24"/>
        <v>1.32395115915193</v>
      </c>
      <c r="H90">
        <f t="shared" si="25"/>
        <v>1.6202199931487828</v>
      </c>
      <c r="I90" s="21">
        <f t="shared" si="26"/>
        <v>3867.8094044754012</v>
      </c>
      <c r="J90" s="21">
        <f t="shared" si="27"/>
        <v>4733.3333133180922</v>
      </c>
      <c r="K90" s="21">
        <f t="shared" si="28"/>
        <v>773.56188089508032</v>
      </c>
      <c r="L90" s="21">
        <f t="shared" si="29"/>
        <v>946.66666266361847</v>
      </c>
      <c r="M90" s="14">
        <f t="shared" si="30"/>
        <v>860.11427177934934</v>
      </c>
      <c r="N90" s="14">
        <f t="shared" si="31"/>
        <v>122.40356504435114</v>
      </c>
      <c r="O90" s="30">
        <f t="shared" si="32"/>
        <v>0.14231081736515136</v>
      </c>
      <c r="P90">
        <v>10.801</v>
      </c>
      <c r="Q90">
        <v>4.3400000000000001E-2</v>
      </c>
      <c r="R90">
        <v>0.99919999999999998</v>
      </c>
    </row>
    <row r="91" spans="1:18" ht="14">
      <c r="A91" s="31">
        <v>3</v>
      </c>
      <c r="B91" t="s">
        <v>61</v>
      </c>
      <c r="C91" s="16">
        <v>0.219</v>
      </c>
      <c r="D91" s="16">
        <v>0.22700000000000001</v>
      </c>
      <c r="E91" s="21">
        <f t="shared" si="22"/>
        <v>1.6257753911674846</v>
      </c>
      <c r="F91" s="21">
        <f t="shared" si="23"/>
        <v>1.6998426071660033</v>
      </c>
      <c r="G91">
        <f t="shared" si="24"/>
        <v>0.5462453911674845</v>
      </c>
      <c r="H91">
        <f t="shared" si="25"/>
        <v>0.75918860716600334</v>
      </c>
      <c r="I91" s="21">
        <f t="shared" si="26"/>
        <v>1595.8089137232967</v>
      </c>
      <c r="J91" s="21">
        <f t="shared" si="27"/>
        <v>2217.9041985568315</v>
      </c>
      <c r="K91" s="21">
        <f t="shared" si="28"/>
        <v>319.16178274465932</v>
      </c>
      <c r="L91" s="21">
        <f t="shared" si="29"/>
        <v>443.58083971136637</v>
      </c>
      <c r="M91" s="14">
        <f t="shared" si="30"/>
        <v>381.37131122801281</v>
      </c>
      <c r="N91" s="14">
        <f t="shared" si="31"/>
        <v>87.977558889994199</v>
      </c>
      <c r="O91" s="30">
        <f t="shared" si="32"/>
        <v>0.23068740699636558</v>
      </c>
      <c r="P91">
        <v>10.801</v>
      </c>
      <c r="Q91">
        <v>4.3400000000000001E-2</v>
      </c>
      <c r="R91">
        <v>0.99919999999999998</v>
      </c>
    </row>
    <row r="92" spans="1:18" ht="14">
      <c r="A92" s="31">
        <v>3</v>
      </c>
      <c r="B92" t="s">
        <v>60</v>
      </c>
      <c r="C92" s="16">
        <v>0.27700000000000002</v>
      </c>
      <c r="D92" s="16">
        <v>0.26200000000000001</v>
      </c>
      <c r="E92" s="21">
        <f t="shared" si="22"/>
        <v>2.162762707156745</v>
      </c>
      <c r="F92" s="21">
        <f t="shared" si="23"/>
        <v>2.0238866771595223</v>
      </c>
      <c r="G92">
        <f t="shared" si="24"/>
        <v>1.0832327071567449</v>
      </c>
      <c r="H92">
        <f t="shared" si="25"/>
        <v>1.0832326771595224</v>
      </c>
      <c r="I92" s="21">
        <f t="shared" si="26"/>
        <v>3164.5711573378467</v>
      </c>
      <c r="J92" s="21">
        <f t="shared" si="27"/>
        <v>3164.5710697035415</v>
      </c>
      <c r="K92" s="21">
        <f t="shared" si="28"/>
        <v>632.91423146756927</v>
      </c>
      <c r="L92" s="21">
        <f t="shared" si="29"/>
        <v>632.91421394070835</v>
      </c>
      <c r="M92" s="14">
        <f t="shared" si="30"/>
        <v>632.91422270413887</v>
      </c>
      <c r="N92" s="14">
        <f t="shared" si="31"/>
        <v>1.2393362206260322E-5</v>
      </c>
      <c r="O92" s="30">
        <f t="shared" si="32"/>
        <v>1.958142472025582E-8</v>
      </c>
      <c r="P92">
        <v>10.801</v>
      </c>
      <c r="Q92">
        <v>4.3400000000000001E-2</v>
      </c>
      <c r="R92">
        <v>0.99919999999999998</v>
      </c>
    </row>
    <row r="93" spans="1:18" ht="14">
      <c r="A93" s="31">
        <v>3</v>
      </c>
      <c r="B93" t="s">
        <v>59</v>
      </c>
      <c r="C93" s="16">
        <v>0.33200000000000002</v>
      </c>
      <c r="D93" s="16">
        <v>0.33800000000000002</v>
      </c>
      <c r="E93" s="21">
        <f t="shared" si="22"/>
        <v>2.6719748171465607</v>
      </c>
      <c r="F93" s="21">
        <f t="shared" si="23"/>
        <v>2.7275252291454497</v>
      </c>
      <c r="G93">
        <f t="shared" si="24"/>
        <v>1.5924448171465606</v>
      </c>
      <c r="H93">
        <f t="shared" si="25"/>
        <v>1.7868712291454498</v>
      </c>
      <c r="I93" s="21">
        <f t="shared" si="26"/>
        <v>4652.1905262826776</v>
      </c>
      <c r="J93" s="21">
        <f t="shared" si="27"/>
        <v>5220.1905613364006</v>
      </c>
      <c r="K93" s="21">
        <f t="shared" si="28"/>
        <v>930.43810525653555</v>
      </c>
      <c r="L93" s="21">
        <f t="shared" si="29"/>
        <v>1044.0381122672802</v>
      </c>
      <c r="M93" s="14">
        <f t="shared" si="30"/>
        <v>987.23810876190782</v>
      </c>
      <c r="N93" s="14">
        <f t="shared" si="31"/>
        <v>80.327335300136895</v>
      </c>
      <c r="O93" s="30">
        <f t="shared" si="32"/>
        <v>8.1365715714596096E-2</v>
      </c>
      <c r="P93">
        <v>10.801</v>
      </c>
      <c r="Q93">
        <v>4.3400000000000001E-2</v>
      </c>
      <c r="R93">
        <v>0.99919999999999998</v>
      </c>
    </row>
    <row r="94" spans="1:18">
      <c r="A94" s="31">
        <v>4</v>
      </c>
      <c r="B94" t="s">
        <v>28</v>
      </c>
      <c r="C94" s="16">
        <v>0.28899999999999998</v>
      </c>
      <c r="D94" s="16">
        <v>0.29099999999999998</v>
      </c>
      <c r="E94">
        <f t="shared" ref="E94:E123" si="33">(C94-0.066)/11.46*100</f>
        <v>1.945898778359511</v>
      </c>
      <c r="F94">
        <f t="shared" ref="F94:F123" si="34">(D94-0.066)/11.46*100</f>
        <v>1.9633507853403138</v>
      </c>
      <c r="N94" s="29"/>
      <c r="O94" s="30" t="e">
        <f t="shared" si="32"/>
        <v>#DIV/0!</v>
      </c>
      <c r="P94">
        <v>11.46</v>
      </c>
      <c r="Q94">
        <v>6.6000000000000003E-2</v>
      </c>
      <c r="R94">
        <v>0.99970000000000003</v>
      </c>
    </row>
    <row r="95" spans="1:18">
      <c r="A95" s="31">
        <v>4</v>
      </c>
      <c r="B95" t="s">
        <v>38</v>
      </c>
      <c r="C95" s="16">
        <v>0.38</v>
      </c>
      <c r="D95" s="16">
        <v>0.35299999999999998</v>
      </c>
      <c r="E95">
        <f t="shared" si="33"/>
        <v>2.7399650959860384</v>
      </c>
      <c r="F95">
        <f t="shared" si="34"/>
        <v>2.5043630017452001</v>
      </c>
      <c r="G95">
        <f t="shared" ref="G95:G123" si="35">E95-1.945899</f>
        <v>0.79406609598603839</v>
      </c>
      <c r="H95">
        <f t="shared" ref="H95:H123" si="36">F95-1.963351</f>
        <v>0.54101200174520003</v>
      </c>
      <c r="I95">
        <f t="shared" ref="I95:I123" si="37">G95/342.3*1000000</f>
        <v>2319.7957814374477</v>
      </c>
      <c r="J95">
        <f t="shared" ref="J95:J123" si="38">H95/342.3*1000000</f>
        <v>1580.5200167841074</v>
      </c>
      <c r="K95">
        <f t="shared" ref="K95:K123" si="39">(I95*0.002)/(1*10)*1000</f>
        <v>463.95915628748952</v>
      </c>
      <c r="L95">
        <f t="shared" ref="L95:L123" si="40">(J95*0.002)/(1*10)*1000</f>
        <v>316.10400335682147</v>
      </c>
      <c r="M95" s="28">
        <f t="shared" ref="M95:M123" si="41">AVERAGE(K95:L95)</f>
        <v>390.03157982215549</v>
      </c>
      <c r="N95" s="29">
        <f t="shared" ref="N95:N123" si="42">STDEV(K95:L95)</f>
        <v>104.54938127064932</v>
      </c>
      <c r="O95" s="30">
        <f t="shared" si="32"/>
        <v>0.26805363124268344</v>
      </c>
      <c r="P95">
        <v>11.46</v>
      </c>
      <c r="Q95">
        <v>6.6000000000000003E-2</v>
      </c>
      <c r="R95">
        <v>0.99970000000000003</v>
      </c>
    </row>
    <row r="96" spans="1:18">
      <c r="A96" s="31">
        <v>4</v>
      </c>
      <c r="B96" t="s">
        <v>0</v>
      </c>
      <c r="C96" s="16">
        <v>0.38800000000000001</v>
      </c>
      <c r="D96" s="16">
        <v>0.39600000000000002</v>
      </c>
      <c r="E96">
        <f t="shared" si="33"/>
        <v>2.8097731239092494</v>
      </c>
      <c r="F96">
        <f t="shared" si="34"/>
        <v>2.8795811518324608</v>
      </c>
      <c r="G96">
        <f t="shared" si="35"/>
        <v>0.86387412390924934</v>
      </c>
      <c r="H96">
        <f t="shared" si="36"/>
        <v>0.9162301518324607</v>
      </c>
      <c r="I96">
        <f t="shared" si="37"/>
        <v>2523.7339290366617</v>
      </c>
      <c r="J96">
        <f t="shared" si="38"/>
        <v>2676.687560129888</v>
      </c>
      <c r="K96">
        <f t="shared" si="39"/>
        <v>504.74678580733234</v>
      </c>
      <c r="L96">
        <f t="shared" si="40"/>
        <v>535.33751202597762</v>
      </c>
      <c r="M96" s="28">
        <f t="shared" si="41"/>
        <v>520.04214891665492</v>
      </c>
      <c r="N96" s="29">
        <f t="shared" si="42"/>
        <v>21.630909950625185</v>
      </c>
      <c r="O96" s="30">
        <f t="shared" si="32"/>
        <v>4.1594532281059172E-2</v>
      </c>
      <c r="P96">
        <v>11.46</v>
      </c>
      <c r="Q96">
        <v>6.6000000000000003E-2</v>
      </c>
      <c r="R96">
        <v>0.99970000000000003</v>
      </c>
    </row>
    <row r="97" spans="1:18">
      <c r="A97" s="31">
        <v>4</v>
      </c>
      <c r="B97" t="s">
        <v>143</v>
      </c>
      <c r="C97" s="16">
        <v>0.32300000000000001</v>
      </c>
      <c r="D97" s="16">
        <v>0.33100000000000002</v>
      </c>
      <c r="E97">
        <f t="shared" si="33"/>
        <v>2.2425828970331589</v>
      </c>
      <c r="F97">
        <f t="shared" si="34"/>
        <v>2.3123909249563699</v>
      </c>
      <c r="G97">
        <f t="shared" si="35"/>
        <v>0.29668389703315889</v>
      </c>
      <c r="H97">
        <f t="shared" si="36"/>
        <v>0.34903992495636982</v>
      </c>
      <c r="I97">
        <f t="shared" si="37"/>
        <v>866.73647979304371</v>
      </c>
      <c r="J97">
        <f t="shared" si="38"/>
        <v>1019.6901108862688</v>
      </c>
      <c r="K97">
        <f t="shared" si="39"/>
        <v>173.34729595860873</v>
      </c>
      <c r="L97">
        <f t="shared" si="40"/>
        <v>203.93802217725377</v>
      </c>
      <c r="M97" s="28">
        <f t="shared" si="41"/>
        <v>188.64265906793125</v>
      </c>
      <c r="N97" s="29">
        <f t="shared" si="42"/>
        <v>21.630909950625025</v>
      </c>
      <c r="O97" s="30">
        <f t="shared" si="32"/>
        <v>0.11466605728259809</v>
      </c>
      <c r="P97">
        <v>11.46</v>
      </c>
      <c r="Q97">
        <v>6.6000000000000003E-2</v>
      </c>
      <c r="R97">
        <v>0.99970000000000003</v>
      </c>
    </row>
    <row r="98" spans="1:18">
      <c r="A98" s="31">
        <v>4</v>
      </c>
      <c r="B98" t="s">
        <v>2</v>
      </c>
      <c r="C98" s="16">
        <v>0.38300000000000001</v>
      </c>
      <c r="D98" s="16">
        <v>0.38300000000000001</v>
      </c>
      <c r="E98">
        <f t="shared" si="33"/>
        <v>2.7661431064572426</v>
      </c>
      <c r="F98">
        <f t="shared" si="34"/>
        <v>2.7661431064572426</v>
      </c>
      <c r="G98">
        <f t="shared" si="35"/>
        <v>0.82024410645724255</v>
      </c>
      <c r="H98">
        <f t="shared" si="36"/>
        <v>0.80279210645724253</v>
      </c>
      <c r="I98">
        <f t="shared" si="37"/>
        <v>2396.2725867871532</v>
      </c>
      <c r="J98">
        <f t="shared" si="38"/>
        <v>2345.288070281164</v>
      </c>
      <c r="K98">
        <f t="shared" si="39"/>
        <v>479.25451735743064</v>
      </c>
      <c r="L98">
        <f t="shared" si="40"/>
        <v>469.05761405623281</v>
      </c>
      <c r="M98" s="28">
        <f t="shared" si="41"/>
        <v>474.15606570683173</v>
      </c>
      <c r="N98" s="29">
        <f t="shared" si="42"/>
        <v>7.2102994713804822</v>
      </c>
      <c r="O98" s="30">
        <f t="shared" si="32"/>
        <v>1.5206595450027572E-2</v>
      </c>
      <c r="P98">
        <v>11.46</v>
      </c>
      <c r="Q98">
        <v>6.6000000000000003E-2</v>
      </c>
      <c r="R98">
        <v>0.99970000000000003</v>
      </c>
    </row>
    <row r="99" spans="1:18">
      <c r="A99" s="31">
        <v>4</v>
      </c>
      <c r="B99" t="s">
        <v>3</v>
      </c>
      <c r="C99" s="16">
        <v>0.38800000000000001</v>
      </c>
      <c r="D99" s="16">
        <v>0.42199999999999999</v>
      </c>
      <c r="E99">
        <f t="shared" si="33"/>
        <v>2.8097731239092494</v>
      </c>
      <c r="F99">
        <f t="shared" si="34"/>
        <v>3.1064572425828967</v>
      </c>
      <c r="G99">
        <f t="shared" si="35"/>
        <v>0.86387412390924934</v>
      </c>
      <c r="H99">
        <f t="shared" si="36"/>
        <v>1.1431062425828966</v>
      </c>
      <c r="I99">
        <f t="shared" si="37"/>
        <v>2523.7339290366617</v>
      </c>
      <c r="J99">
        <f t="shared" si="38"/>
        <v>3339.4865398273341</v>
      </c>
      <c r="K99">
        <f t="shared" si="39"/>
        <v>504.74678580733234</v>
      </c>
      <c r="L99">
        <f t="shared" si="40"/>
        <v>667.89730796546689</v>
      </c>
      <c r="M99" s="28">
        <f t="shared" si="41"/>
        <v>586.32204688639968</v>
      </c>
      <c r="N99" s="29">
        <f t="shared" si="42"/>
        <v>115.36484057214227</v>
      </c>
      <c r="O99" s="30">
        <f t="shared" si="32"/>
        <v>0.19676019550138849</v>
      </c>
      <c r="P99">
        <v>11.46</v>
      </c>
      <c r="Q99">
        <v>6.6000000000000003E-2</v>
      </c>
      <c r="R99">
        <v>0.99970000000000003</v>
      </c>
    </row>
    <row r="100" spans="1:18">
      <c r="A100" s="31">
        <v>4</v>
      </c>
      <c r="B100" t="s">
        <v>4</v>
      </c>
      <c r="C100" s="16">
        <v>0.44400000000000001</v>
      </c>
      <c r="D100" s="16">
        <v>0.40300000000000002</v>
      </c>
      <c r="E100">
        <f t="shared" si="33"/>
        <v>3.2984293193717278</v>
      </c>
      <c r="F100">
        <f t="shared" si="34"/>
        <v>2.9406631762652702</v>
      </c>
      <c r="G100">
        <f t="shared" si="35"/>
        <v>1.3525303193717277</v>
      </c>
      <c r="H100">
        <f t="shared" si="36"/>
        <v>0.97731217626527012</v>
      </c>
      <c r="I100">
        <f t="shared" si="37"/>
        <v>3951.3009622311652</v>
      </c>
      <c r="J100">
        <f t="shared" si="38"/>
        <v>2855.1334392792</v>
      </c>
      <c r="K100">
        <f t="shared" si="39"/>
        <v>790.26019244623308</v>
      </c>
      <c r="L100">
        <f t="shared" si="40"/>
        <v>571.02668785584001</v>
      </c>
      <c r="M100" s="28">
        <f t="shared" si="41"/>
        <v>680.64344015103654</v>
      </c>
      <c r="N100" s="29">
        <f t="shared" si="42"/>
        <v>155.02149775915927</v>
      </c>
      <c r="O100" s="30">
        <f t="shared" si="32"/>
        <v>0.22775727879601632</v>
      </c>
      <c r="P100">
        <v>11.46</v>
      </c>
      <c r="Q100">
        <v>6.6000000000000003E-2</v>
      </c>
      <c r="R100">
        <v>0.99970000000000003</v>
      </c>
    </row>
    <row r="101" spans="1:18">
      <c r="A101" s="31">
        <v>4</v>
      </c>
      <c r="B101" t="s">
        <v>5</v>
      </c>
      <c r="C101" s="16">
        <v>0.434</v>
      </c>
      <c r="D101" s="16">
        <v>0.40500000000000003</v>
      </c>
      <c r="E101">
        <f t="shared" si="33"/>
        <v>3.2111692844677138</v>
      </c>
      <c r="F101">
        <f t="shared" si="34"/>
        <v>2.9581151832460733</v>
      </c>
      <c r="G101">
        <f t="shared" si="35"/>
        <v>1.2652702844677137</v>
      </c>
      <c r="H101">
        <f t="shared" si="36"/>
        <v>0.99476418324607319</v>
      </c>
      <c r="I101">
        <f t="shared" si="37"/>
        <v>3696.3782777321467</v>
      </c>
      <c r="J101">
        <f t="shared" si="38"/>
        <v>2906.117976179004</v>
      </c>
      <c r="K101">
        <f t="shared" si="39"/>
        <v>739.27565554642933</v>
      </c>
      <c r="L101">
        <f t="shared" si="40"/>
        <v>581.22359523580076</v>
      </c>
      <c r="M101" s="28">
        <f t="shared" si="41"/>
        <v>660.24962539111505</v>
      </c>
      <c r="N101" s="29">
        <f t="shared" si="42"/>
        <v>111.75968362615042</v>
      </c>
      <c r="O101" s="30">
        <f t="shared" si="32"/>
        <v>0.16926883307195642</v>
      </c>
      <c r="P101">
        <v>11.46</v>
      </c>
      <c r="Q101">
        <v>6.6000000000000003E-2</v>
      </c>
      <c r="R101">
        <v>0.99970000000000003</v>
      </c>
    </row>
    <row r="102" spans="1:18">
      <c r="A102" s="31">
        <v>4</v>
      </c>
      <c r="B102" t="s">
        <v>6</v>
      </c>
      <c r="C102" s="16">
        <v>0.34799999999999998</v>
      </c>
      <c r="D102" s="16">
        <v>0.35299999999999998</v>
      </c>
      <c r="E102">
        <f t="shared" si="33"/>
        <v>2.4607329842931933</v>
      </c>
      <c r="F102">
        <f t="shared" si="34"/>
        <v>2.5043630017452001</v>
      </c>
      <c r="G102">
        <f t="shared" si="35"/>
        <v>0.51483398429319327</v>
      </c>
      <c r="H102">
        <f t="shared" si="36"/>
        <v>0.54101200174520003</v>
      </c>
      <c r="I102">
        <f t="shared" si="37"/>
        <v>1504.043191040588</v>
      </c>
      <c r="J102">
        <f t="shared" si="38"/>
        <v>1580.5200167841074</v>
      </c>
      <c r="K102">
        <f t="shared" si="39"/>
        <v>300.8086382081176</v>
      </c>
      <c r="L102">
        <f t="shared" si="40"/>
        <v>316.10400335682147</v>
      </c>
      <c r="M102" s="28">
        <f t="shared" si="41"/>
        <v>308.45632078246956</v>
      </c>
      <c r="N102" s="29">
        <f t="shared" si="42"/>
        <v>10.815456417372889</v>
      </c>
      <c r="O102" s="30">
        <f t="shared" si="32"/>
        <v>3.5063170013624703E-2</v>
      </c>
      <c r="P102">
        <v>11.46</v>
      </c>
      <c r="Q102">
        <v>6.6000000000000003E-2</v>
      </c>
      <c r="R102">
        <v>0.99970000000000003</v>
      </c>
    </row>
    <row r="103" spans="1:18">
      <c r="A103" s="31">
        <v>4</v>
      </c>
      <c r="B103" t="s">
        <v>7</v>
      </c>
      <c r="C103" s="16">
        <v>0.38700000000000001</v>
      </c>
      <c r="D103" s="16">
        <v>0.40899999999999997</v>
      </c>
      <c r="E103">
        <f t="shared" si="33"/>
        <v>2.8010471204188478</v>
      </c>
      <c r="F103">
        <f t="shared" si="34"/>
        <v>2.9930191972076785</v>
      </c>
      <c r="G103">
        <f t="shared" si="35"/>
        <v>0.8551481204188478</v>
      </c>
      <c r="H103">
        <f t="shared" si="36"/>
        <v>1.0296681972076784</v>
      </c>
      <c r="I103">
        <f t="shared" si="37"/>
        <v>2498.2416605867593</v>
      </c>
      <c r="J103">
        <f t="shared" si="38"/>
        <v>3008.0870499786106</v>
      </c>
      <c r="K103">
        <f t="shared" si="39"/>
        <v>499.6483321173518</v>
      </c>
      <c r="L103">
        <f t="shared" si="40"/>
        <v>601.61740999572214</v>
      </c>
      <c r="M103" s="28">
        <f t="shared" si="41"/>
        <v>550.63287105653694</v>
      </c>
      <c r="N103" s="29">
        <f t="shared" si="42"/>
        <v>72.103026439134837</v>
      </c>
      <c r="O103" s="30">
        <f t="shared" si="32"/>
        <v>0.13094573576907209</v>
      </c>
      <c r="P103">
        <v>11.46</v>
      </c>
      <c r="Q103">
        <v>6.6000000000000003E-2</v>
      </c>
      <c r="R103">
        <v>0.99970000000000003</v>
      </c>
    </row>
    <row r="104" spans="1:18">
      <c r="A104" s="31">
        <v>4</v>
      </c>
      <c r="B104" t="s">
        <v>8</v>
      </c>
      <c r="C104" s="16">
        <v>0.44</v>
      </c>
      <c r="D104" s="16">
        <v>0.36599999999999999</v>
      </c>
      <c r="E104">
        <f t="shared" si="33"/>
        <v>3.2635253054101221</v>
      </c>
      <c r="F104">
        <f t="shared" si="34"/>
        <v>2.6178010471204183</v>
      </c>
      <c r="G104">
        <f t="shared" si="35"/>
        <v>1.317626305410122</v>
      </c>
      <c r="H104">
        <f t="shared" si="36"/>
        <v>0.65445004712041821</v>
      </c>
      <c r="I104">
        <f t="shared" si="37"/>
        <v>3849.3318884315572</v>
      </c>
      <c r="J104">
        <f t="shared" si="38"/>
        <v>1911.9195066328314</v>
      </c>
      <c r="K104">
        <f t="shared" si="39"/>
        <v>769.86637768631147</v>
      </c>
      <c r="L104">
        <f t="shared" si="40"/>
        <v>382.38390132656627</v>
      </c>
      <c r="M104" s="28">
        <f t="shared" si="41"/>
        <v>576.12513950643893</v>
      </c>
      <c r="N104" s="29">
        <f t="shared" si="42"/>
        <v>273.99148662493172</v>
      </c>
      <c r="O104" s="30">
        <f t="shared" si="32"/>
        <v>0.47557634242390062</v>
      </c>
      <c r="P104">
        <v>11.46</v>
      </c>
      <c r="Q104">
        <v>6.6000000000000003E-2</v>
      </c>
      <c r="R104">
        <v>0.99970000000000003</v>
      </c>
    </row>
    <row r="105" spans="1:18">
      <c r="A105" s="31">
        <v>4</v>
      </c>
      <c r="B105" t="s">
        <v>9</v>
      </c>
      <c r="C105" s="16">
        <v>0.4</v>
      </c>
      <c r="D105" s="16">
        <v>0.45500000000000002</v>
      </c>
      <c r="E105">
        <f t="shared" si="33"/>
        <v>2.9144851657940665</v>
      </c>
      <c r="F105">
        <f t="shared" si="34"/>
        <v>3.3944153577661429</v>
      </c>
      <c r="G105">
        <f t="shared" si="35"/>
        <v>0.96858616579406642</v>
      </c>
      <c r="H105">
        <f t="shared" si="36"/>
        <v>1.4310643577661428</v>
      </c>
      <c r="I105">
        <f t="shared" si="37"/>
        <v>2829.6411504354846</v>
      </c>
      <c r="J105">
        <f t="shared" si="38"/>
        <v>4180.7313986740955</v>
      </c>
      <c r="K105">
        <f t="shared" si="39"/>
        <v>565.92823008709695</v>
      </c>
      <c r="L105">
        <f t="shared" si="40"/>
        <v>836.14627973481902</v>
      </c>
      <c r="M105" s="28">
        <f t="shared" si="41"/>
        <v>701.03725491095793</v>
      </c>
      <c r="N105" s="29">
        <f t="shared" si="42"/>
        <v>191.07301530490773</v>
      </c>
      <c r="O105" s="30">
        <f t="shared" si="32"/>
        <v>0.27255757660008645</v>
      </c>
      <c r="P105">
        <v>11.46</v>
      </c>
      <c r="Q105">
        <v>6.6000000000000003E-2</v>
      </c>
      <c r="R105">
        <v>0.99970000000000003</v>
      </c>
    </row>
    <row r="106" spans="1:18">
      <c r="A106" s="31">
        <v>4</v>
      </c>
      <c r="B106" t="s">
        <v>10</v>
      </c>
      <c r="C106" s="16">
        <v>0.42699999999999999</v>
      </c>
      <c r="D106" s="16">
        <v>0.41599999999999998</v>
      </c>
      <c r="E106">
        <f t="shared" si="33"/>
        <v>3.1500872600349035</v>
      </c>
      <c r="F106">
        <f t="shared" si="34"/>
        <v>3.0541012216404884</v>
      </c>
      <c r="G106">
        <f t="shared" si="35"/>
        <v>1.2041882600349034</v>
      </c>
      <c r="H106">
        <f t="shared" si="36"/>
        <v>1.0907502216404883</v>
      </c>
      <c r="I106">
        <f t="shared" si="37"/>
        <v>3517.9323985828319</v>
      </c>
      <c r="J106">
        <f t="shared" si="38"/>
        <v>3186.5329291279236</v>
      </c>
      <c r="K106">
        <f t="shared" si="39"/>
        <v>703.58647971656637</v>
      </c>
      <c r="L106">
        <f t="shared" si="40"/>
        <v>637.30658582558476</v>
      </c>
      <c r="M106" s="28">
        <f t="shared" si="41"/>
        <v>670.44653277107557</v>
      </c>
      <c r="N106" s="29">
        <f t="shared" si="42"/>
        <v>46.866962426637919</v>
      </c>
      <c r="O106" s="30">
        <f t="shared" si="32"/>
        <v>6.9904101424655557E-2</v>
      </c>
      <c r="P106">
        <v>11.46</v>
      </c>
      <c r="Q106">
        <v>6.6000000000000003E-2</v>
      </c>
      <c r="R106">
        <v>0.99970000000000003</v>
      </c>
    </row>
    <row r="107" spans="1:18">
      <c r="A107" s="31">
        <v>4</v>
      </c>
      <c r="B107" t="s">
        <v>11</v>
      </c>
      <c r="C107" s="16">
        <v>0.43</v>
      </c>
      <c r="D107" s="16">
        <v>0.43</v>
      </c>
      <c r="E107">
        <f t="shared" si="33"/>
        <v>3.1762652705061081</v>
      </c>
      <c r="F107">
        <f t="shared" si="34"/>
        <v>3.1762652705061081</v>
      </c>
      <c r="G107">
        <f t="shared" si="35"/>
        <v>1.230366270506108</v>
      </c>
      <c r="H107">
        <f t="shared" si="36"/>
        <v>1.212914270506108</v>
      </c>
      <c r="I107">
        <f t="shared" si="37"/>
        <v>3594.4092039325387</v>
      </c>
      <c r="J107">
        <f t="shared" si="38"/>
        <v>3543.4246874265496</v>
      </c>
      <c r="K107">
        <f t="shared" si="39"/>
        <v>718.88184078650772</v>
      </c>
      <c r="L107">
        <f t="shared" si="40"/>
        <v>708.68493748530989</v>
      </c>
      <c r="M107" s="28">
        <f t="shared" si="41"/>
        <v>713.78338913590881</v>
      </c>
      <c r="N107" s="29">
        <f t="shared" si="42"/>
        <v>7.2102994713804822</v>
      </c>
      <c r="O107" s="30">
        <f t="shared" si="32"/>
        <v>1.0101523208755417E-2</v>
      </c>
      <c r="P107">
        <v>11.46</v>
      </c>
      <c r="Q107">
        <v>6.6000000000000003E-2</v>
      </c>
      <c r="R107">
        <v>0.99970000000000003</v>
      </c>
    </row>
    <row r="108" spans="1:18">
      <c r="A108" s="31">
        <v>4</v>
      </c>
      <c r="B108" t="s">
        <v>12</v>
      </c>
      <c r="C108" s="16">
        <v>0.39200000000000002</v>
      </c>
      <c r="D108" s="16">
        <v>0.38</v>
      </c>
      <c r="E108">
        <f t="shared" si="33"/>
        <v>2.8446771378708551</v>
      </c>
      <c r="F108">
        <f t="shared" si="34"/>
        <v>2.7399650959860384</v>
      </c>
      <c r="G108">
        <f t="shared" si="35"/>
        <v>0.89877813787085503</v>
      </c>
      <c r="H108">
        <f t="shared" si="36"/>
        <v>0.77661409598603837</v>
      </c>
      <c r="I108">
        <f t="shared" si="37"/>
        <v>2625.7030028362697</v>
      </c>
      <c r="J108">
        <f t="shared" si="38"/>
        <v>2268.8112649314585</v>
      </c>
      <c r="K108">
        <f t="shared" si="39"/>
        <v>525.14060056725384</v>
      </c>
      <c r="L108">
        <f t="shared" si="40"/>
        <v>453.76225298629168</v>
      </c>
      <c r="M108" s="28">
        <f t="shared" si="41"/>
        <v>489.45142677677279</v>
      </c>
      <c r="N108" s="29">
        <f t="shared" si="42"/>
        <v>50.472113604388738</v>
      </c>
      <c r="O108" s="30">
        <f t="shared" si="32"/>
        <v>0.1031197598845858</v>
      </c>
      <c r="P108">
        <v>11.46</v>
      </c>
      <c r="Q108">
        <v>6.6000000000000003E-2</v>
      </c>
      <c r="R108">
        <v>0.99970000000000003</v>
      </c>
    </row>
    <row r="109" spans="1:18">
      <c r="A109" s="31">
        <v>4</v>
      </c>
      <c r="B109" t="s">
        <v>13</v>
      </c>
      <c r="C109" s="16">
        <v>0.40200000000000002</v>
      </c>
      <c r="D109" s="16">
        <v>0.4</v>
      </c>
      <c r="E109">
        <f t="shared" si="33"/>
        <v>2.9319371727748691</v>
      </c>
      <c r="F109">
        <f t="shared" si="34"/>
        <v>2.9144851657940665</v>
      </c>
      <c r="G109">
        <f t="shared" si="35"/>
        <v>0.98603817277486905</v>
      </c>
      <c r="H109">
        <f t="shared" si="36"/>
        <v>0.9511341657940664</v>
      </c>
      <c r="I109">
        <f t="shared" si="37"/>
        <v>2880.6256873352881</v>
      </c>
      <c r="J109">
        <f t="shared" si="38"/>
        <v>2778.6566339294959</v>
      </c>
      <c r="K109">
        <f t="shared" si="39"/>
        <v>576.12513746705758</v>
      </c>
      <c r="L109">
        <f t="shared" si="40"/>
        <v>555.73132678589923</v>
      </c>
      <c r="M109" s="28">
        <f t="shared" si="41"/>
        <v>565.92823212647841</v>
      </c>
      <c r="N109" s="29">
        <f t="shared" si="42"/>
        <v>14.420601826881718</v>
      </c>
      <c r="O109" s="30">
        <f t="shared" si="32"/>
        <v>2.5481326090935997E-2</v>
      </c>
      <c r="P109">
        <v>11.46</v>
      </c>
      <c r="Q109">
        <v>6.6000000000000003E-2</v>
      </c>
      <c r="R109">
        <v>0.99970000000000003</v>
      </c>
    </row>
    <row r="110" spans="1:18">
      <c r="A110" s="31">
        <v>4</v>
      </c>
      <c r="B110" t="s">
        <v>14</v>
      </c>
      <c r="C110" s="16">
        <v>0.32200000000000001</v>
      </c>
      <c r="D110" s="16">
        <v>0.32400000000000001</v>
      </c>
      <c r="E110">
        <f t="shared" si="33"/>
        <v>2.2338568935427574</v>
      </c>
      <c r="F110">
        <f t="shared" si="34"/>
        <v>2.25130890052356</v>
      </c>
      <c r="G110">
        <f t="shared" si="35"/>
        <v>0.28795789354275736</v>
      </c>
      <c r="H110">
        <f t="shared" si="36"/>
        <v>0.28795790052355996</v>
      </c>
      <c r="I110">
        <f t="shared" si="37"/>
        <v>841.2442113431415</v>
      </c>
      <c r="J110">
        <f t="shared" si="38"/>
        <v>841.24423173695584</v>
      </c>
      <c r="K110">
        <f t="shared" si="39"/>
        <v>168.24884226862829</v>
      </c>
      <c r="L110">
        <f t="shared" si="40"/>
        <v>168.24884634739118</v>
      </c>
      <c r="M110" s="28">
        <f t="shared" si="41"/>
        <v>168.24884430800972</v>
      </c>
      <c r="N110" s="29">
        <f t="shared" si="42"/>
        <v>2.8841208946755751E-6</v>
      </c>
      <c r="O110" s="30">
        <f t="shared" si="32"/>
        <v>1.7141995278111235E-8</v>
      </c>
      <c r="P110">
        <v>11.46</v>
      </c>
      <c r="Q110">
        <v>6.6000000000000003E-2</v>
      </c>
      <c r="R110">
        <v>0.99970000000000003</v>
      </c>
    </row>
    <row r="111" spans="1:18">
      <c r="A111" s="31">
        <v>4</v>
      </c>
      <c r="B111" t="s">
        <v>15</v>
      </c>
      <c r="C111" s="38">
        <v>0.503</v>
      </c>
      <c r="D111" s="38">
        <v>0.497</v>
      </c>
      <c r="E111">
        <f t="shared" si="33"/>
        <v>3.8132635253054095</v>
      </c>
      <c r="F111">
        <f t="shared" si="34"/>
        <v>3.7609075043630016</v>
      </c>
      <c r="G111">
        <f t="shared" si="35"/>
        <v>1.8673645253054094</v>
      </c>
      <c r="H111">
        <f t="shared" si="36"/>
        <v>1.7975565043630015</v>
      </c>
      <c r="I111">
        <f t="shared" si="37"/>
        <v>5455.3448007753705</v>
      </c>
      <c r="J111">
        <f t="shared" si="38"/>
        <v>5251.4066735699726</v>
      </c>
      <c r="K111">
        <f t="shared" si="39"/>
        <v>1091.0689601550741</v>
      </c>
      <c r="L111">
        <f t="shared" si="40"/>
        <v>1050.2813347139945</v>
      </c>
      <c r="M111" s="28">
        <f t="shared" si="41"/>
        <v>1070.6751474345342</v>
      </c>
      <c r="N111" s="29">
        <f t="shared" si="42"/>
        <v>28.84120653788435</v>
      </c>
      <c r="O111" s="30">
        <f t="shared" si="32"/>
        <v>2.693740170115215E-2</v>
      </c>
      <c r="P111">
        <v>11.46</v>
      </c>
      <c r="Q111">
        <v>6.6000000000000003E-2</v>
      </c>
      <c r="R111">
        <v>0.99970000000000003</v>
      </c>
    </row>
    <row r="112" spans="1:18">
      <c r="A112" s="31">
        <v>4</v>
      </c>
      <c r="B112" t="s">
        <v>16</v>
      </c>
      <c r="C112" s="16">
        <v>0.39400000000000002</v>
      </c>
      <c r="D112" s="16">
        <v>0.38500000000000001</v>
      </c>
      <c r="E112">
        <f t="shared" si="33"/>
        <v>2.8621291448516577</v>
      </c>
      <c r="F112">
        <f t="shared" si="34"/>
        <v>2.7835951134380452</v>
      </c>
      <c r="G112">
        <f t="shared" si="35"/>
        <v>0.91623014485165766</v>
      </c>
      <c r="H112">
        <f t="shared" si="36"/>
        <v>0.82024411343804515</v>
      </c>
      <c r="I112">
        <f t="shared" si="37"/>
        <v>2676.6875397360723</v>
      </c>
      <c r="J112">
        <f t="shared" si="38"/>
        <v>2396.2726071809675</v>
      </c>
      <c r="K112">
        <f t="shared" si="39"/>
        <v>535.33750794721448</v>
      </c>
      <c r="L112">
        <f t="shared" si="40"/>
        <v>479.2545214361935</v>
      </c>
      <c r="M112" s="28">
        <f t="shared" si="41"/>
        <v>507.29601469170399</v>
      </c>
      <c r="N112" s="29">
        <f t="shared" si="42"/>
        <v>39.656660071136606</v>
      </c>
      <c r="O112" s="30">
        <f t="shared" si="32"/>
        <v>7.8172622931479002E-2</v>
      </c>
      <c r="P112">
        <v>11.46</v>
      </c>
      <c r="Q112">
        <v>6.6000000000000003E-2</v>
      </c>
      <c r="R112">
        <v>0.99970000000000003</v>
      </c>
    </row>
    <row r="113" spans="1:18">
      <c r="A113" s="31">
        <v>4</v>
      </c>
      <c r="B113" t="s">
        <v>17</v>
      </c>
      <c r="C113" s="16">
        <v>0.45500000000000002</v>
      </c>
      <c r="D113" s="16">
        <v>0.41399999999999998</v>
      </c>
      <c r="E113">
        <f t="shared" si="33"/>
        <v>3.3944153577661429</v>
      </c>
      <c r="F113">
        <f t="shared" si="34"/>
        <v>3.0366492146596853</v>
      </c>
      <c r="G113">
        <f t="shared" si="35"/>
        <v>1.4485163577661428</v>
      </c>
      <c r="H113">
        <f t="shared" si="36"/>
        <v>1.0732982146596852</v>
      </c>
      <c r="I113">
        <f t="shared" si="37"/>
        <v>4231.7159151800843</v>
      </c>
      <c r="J113">
        <f t="shared" si="38"/>
        <v>3135.5483922281192</v>
      </c>
      <c r="K113">
        <f t="shared" si="39"/>
        <v>846.34318303601685</v>
      </c>
      <c r="L113">
        <f t="shared" si="40"/>
        <v>627.10967844562379</v>
      </c>
      <c r="M113" s="28">
        <f t="shared" si="41"/>
        <v>736.72643074082032</v>
      </c>
      <c r="N113" s="29">
        <f t="shared" si="42"/>
        <v>155.02149775915927</v>
      </c>
      <c r="O113" s="30">
        <f t="shared" si="32"/>
        <v>0.21041935145896196</v>
      </c>
      <c r="P113">
        <v>11.46</v>
      </c>
      <c r="Q113">
        <v>6.6000000000000003E-2</v>
      </c>
      <c r="R113">
        <v>0.99970000000000003</v>
      </c>
    </row>
    <row r="114" spans="1:18">
      <c r="A114" s="31">
        <v>4</v>
      </c>
      <c r="B114" t="s">
        <v>18</v>
      </c>
      <c r="C114" s="16">
        <v>0.46200000000000002</v>
      </c>
      <c r="D114" s="16">
        <v>0.435</v>
      </c>
      <c r="E114">
        <f t="shared" si="33"/>
        <v>3.4554973821989527</v>
      </c>
      <c r="F114">
        <f t="shared" si="34"/>
        <v>3.2198952879581149</v>
      </c>
      <c r="G114">
        <f t="shared" si="35"/>
        <v>1.5095983821989527</v>
      </c>
      <c r="H114">
        <f t="shared" si="36"/>
        <v>1.2565442879581148</v>
      </c>
      <c r="I114">
        <f t="shared" si="37"/>
        <v>4410.1617943293977</v>
      </c>
      <c r="J114">
        <f t="shared" si="38"/>
        <v>3670.8860296760586</v>
      </c>
      <c r="K114">
        <f t="shared" si="39"/>
        <v>882.03235886587947</v>
      </c>
      <c r="L114">
        <f t="shared" si="40"/>
        <v>734.17720593521176</v>
      </c>
      <c r="M114" s="28">
        <f t="shared" si="41"/>
        <v>808.10478240054567</v>
      </c>
      <c r="N114" s="29">
        <f t="shared" si="42"/>
        <v>104.54938127064918</v>
      </c>
      <c r="O114" s="30">
        <f t="shared" si="32"/>
        <v>0.12937602096608825</v>
      </c>
      <c r="P114">
        <v>11.46</v>
      </c>
      <c r="Q114">
        <v>6.6000000000000003E-2</v>
      </c>
      <c r="R114">
        <v>0.99970000000000003</v>
      </c>
    </row>
    <row r="115" spans="1:18">
      <c r="A115" s="31">
        <v>4</v>
      </c>
      <c r="B115" t="s">
        <v>19</v>
      </c>
      <c r="C115" s="16">
        <v>0.437</v>
      </c>
      <c r="D115" s="16">
        <v>0.44</v>
      </c>
      <c r="E115">
        <f t="shared" si="33"/>
        <v>3.2373472949389179</v>
      </c>
      <c r="F115">
        <f t="shared" si="34"/>
        <v>3.2635253054101221</v>
      </c>
      <c r="G115">
        <f t="shared" si="35"/>
        <v>1.2914482949389179</v>
      </c>
      <c r="H115">
        <f t="shared" si="36"/>
        <v>1.300174305410122</v>
      </c>
      <c r="I115">
        <f t="shared" si="37"/>
        <v>3772.8550830818517</v>
      </c>
      <c r="J115">
        <f t="shared" si="38"/>
        <v>3798.347371925568</v>
      </c>
      <c r="K115">
        <f t="shared" si="39"/>
        <v>754.57101661637034</v>
      </c>
      <c r="L115">
        <f t="shared" si="40"/>
        <v>759.66947438511363</v>
      </c>
      <c r="M115" s="28">
        <f t="shared" si="41"/>
        <v>757.12024550074193</v>
      </c>
      <c r="N115" s="29">
        <f t="shared" si="42"/>
        <v>3.6051540618716134</v>
      </c>
      <c r="O115" s="30">
        <f t="shared" si="32"/>
        <v>4.761666437128817E-3</v>
      </c>
      <c r="P115">
        <v>11.46</v>
      </c>
      <c r="Q115">
        <v>6.6000000000000003E-2</v>
      </c>
      <c r="R115">
        <v>0.99970000000000003</v>
      </c>
    </row>
    <row r="116" spans="1:18">
      <c r="A116" s="31">
        <v>4</v>
      </c>
      <c r="B116" t="s">
        <v>20</v>
      </c>
      <c r="C116" s="16">
        <v>0.36299999999999999</v>
      </c>
      <c r="D116" s="16">
        <v>0.33100000000000002</v>
      </c>
      <c r="E116">
        <f t="shared" si="33"/>
        <v>2.5916230366492146</v>
      </c>
      <c r="F116">
        <f t="shared" si="34"/>
        <v>2.3123909249563699</v>
      </c>
      <c r="G116">
        <f t="shared" si="35"/>
        <v>0.64572403664921452</v>
      </c>
      <c r="H116">
        <f t="shared" si="36"/>
        <v>0.34903992495636982</v>
      </c>
      <c r="I116">
        <f t="shared" si="37"/>
        <v>1886.4272177891162</v>
      </c>
      <c r="J116">
        <f t="shared" si="38"/>
        <v>1019.6901108862688</v>
      </c>
      <c r="K116">
        <f t="shared" si="39"/>
        <v>377.28544355782321</v>
      </c>
      <c r="L116">
        <f t="shared" si="40"/>
        <v>203.93802217725377</v>
      </c>
      <c r="M116" s="28">
        <f t="shared" si="41"/>
        <v>290.61173286753848</v>
      </c>
      <c r="N116" s="29">
        <f t="shared" si="42"/>
        <v>122.57513715940273</v>
      </c>
      <c r="O116" s="30">
        <f t="shared" si="32"/>
        <v>0.42178316735502475</v>
      </c>
      <c r="P116">
        <v>11.46</v>
      </c>
      <c r="Q116">
        <v>6.6000000000000003E-2</v>
      </c>
      <c r="R116">
        <v>0.99970000000000003</v>
      </c>
    </row>
    <row r="117" spans="1:18">
      <c r="A117" s="31">
        <v>4</v>
      </c>
      <c r="B117" t="s">
        <v>21</v>
      </c>
      <c r="C117" s="16">
        <v>0.40100000000000002</v>
      </c>
      <c r="D117" s="16">
        <v>0.44600000000000001</v>
      </c>
      <c r="E117">
        <f t="shared" si="33"/>
        <v>2.9232111692844676</v>
      </c>
      <c r="F117">
        <f t="shared" si="34"/>
        <v>3.31588132635253</v>
      </c>
      <c r="G117">
        <f t="shared" si="35"/>
        <v>0.97731216928446751</v>
      </c>
      <c r="H117">
        <f t="shared" si="36"/>
        <v>1.3525303263525299</v>
      </c>
      <c r="I117">
        <f t="shared" si="37"/>
        <v>2855.1334188853857</v>
      </c>
      <c r="J117">
        <f t="shared" si="38"/>
        <v>3951.3009826249777</v>
      </c>
      <c r="K117">
        <f t="shared" si="39"/>
        <v>571.02668377707721</v>
      </c>
      <c r="L117">
        <f t="shared" si="40"/>
        <v>790.26019652499554</v>
      </c>
      <c r="M117" s="28">
        <f t="shared" si="41"/>
        <v>680.64344015103643</v>
      </c>
      <c r="N117" s="29">
        <f t="shared" si="42"/>
        <v>155.02150352740003</v>
      </c>
      <c r="O117" s="30">
        <f t="shared" si="32"/>
        <v>0.2277572872707043</v>
      </c>
      <c r="P117">
        <v>11.46</v>
      </c>
      <c r="Q117">
        <v>6.6000000000000003E-2</v>
      </c>
      <c r="R117">
        <v>0.99970000000000003</v>
      </c>
    </row>
    <row r="118" spans="1:18">
      <c r="A118" s="31">
        <v>4</v>
      </c>
      <c r="B118" t="s">
        <v>22</v>
      </c>
      <c r="C118" s="16">
        <v>0.38800000000000001</v>
      </c>
      <c r="D118" s="16">
        <v>0.34799999999999998</v>
      </c>
      <c r="E118">
        <f t="shared" si="33"/>
        <v>2.8097731239092494</v>
      </c>
      <c r="F118">
        <f t="shared" si="34"/>
        <v>2.4607329842931933</v>
      </c>
      <c r="G118">
        <f t="shared" si="35"/>
        <v>0.86387412390924934</v>
      </c>
      <c r="H118">
        <f t="shared" si="36"/>
        <v>0.49738198429319325</v>
      </c>
      <c r="I118">
        <f t="shared" si="37"/>
        <v>2523.7339290366617</v>
      </c>
      <c r="J118">
        <f t="shared" si="38"/>
        <v>1453.0586745345988</v>
      </c>
      <c r="K118">
        <f t="shared" si="39"/>
        <v>504.74678580733234</v>
      </c>
      <c r="L118">
        <f t="shared" si="40"/>
        <v>290.61173490691976</v>
      </c>
      <c r="M118" s="28">
        <f t="shared" si="41"/>
        <v>397.67926035712605</v>
      </c>
      <c r="N118" s="29">
        <f t="shared" si="42"/>
        <v>151.41634658140819</v>
      </c>
      <c r="O118" s="30">
        <f t="shared" si="32"/>
        <v>0.38074992003714869</v>
      </c>
      <c r="P118">
        <v>11.46</v>
      </c>
      <c r="Q118">
        <v>6.6000000000000003E-2</v>
      </c>
      <c r="R118">
        <v>0.99970000000000003</v>
      </c>
    </row>
    <row r="119" spans="1:18">
      <c r="A119" s="31">
        <v>4</v>
      </c>
      <c r="B119" t="s">
        <v>23</v>
      </c>
      <c r="C119" s="16">
        <v>0.377</v>
      </c>
      <c r="D119" s="16">
        <v>0.41</v>
      </c>
      <c r="E119">
        <f t="shared" si="33"/>
        <v>2.7137870855148338</v>
      </c>
      <c r="F119">
        <f t="shared" si="34"/>
        <v>3.0017452006980796</v>
      </c>
      <c r="G119">
        <f t="shared" si="35"/>
        <v>0.76788808551483378</v>
      </c>
      <c r="H119">
        <f t="shared" si="36"/>
        <v>1.0383942006980795</v>
      </c>
      <c r="I119">
        <f t="shared" si="37"/>
        <v>2243.3189760877412</v>
      </c>
      <c r="J119">
        <f t="shared" si="38"/>
        <v>3033.5793184285117</v>
      </c>
      <c r="K119">
        <f t="shared" si="39"/>
        <v>448.66379521754823</v>
      </c>
      <c r="L119">
        <f t="shared" si="40"/>
        <v>606.71586368570229</v>
      </c>
      <c r="M119" s="28">
        <f t="shared" si="41"/>
        <v>527.6898294516252</v>
      </c>
      <c r="N119" s="29">
        <f t="shared" si="42"/>
        <v>111.75968939439268</v>
      </c>
      <c r="O119" s="30">
        <f t="shared" si="32"/>
        <v>0.21179049349981455</v>
      </c>
      <c r="P119">
        <v>11.46</v>
      </c>
      <c r="Q119">
        <v>6.6000000000000003E-2</v>
      </c>
      <c r="R119">
        <v>0.99970000000000003</v>
      </c>
    </row>
    <row r="120" spans="1:18">
      <c r="A120" s="31">
        <v>4</v>
      </c>
      <c r="B120" t="s">
        <v>24</v>
      </c>
      <c r="C120" s="16">
        <v>0.316</v>
      </c>
      <c r="D120" s="16">
        <v>0.36199999999999999</v>
      </c>
      <c r="E120">
        <f t="shared" si="33"/>
        <v>2.1815008726003491</v>
      </c>
      <c r="F120">
        <f t="shared" si="34"/>
        <v>2.582897033158813</v>
      </c>
      <c r="G120">
        <f t="shared" si="35"/>
        <v>0.23560187260034904</v>
      </c>
      <c r="H120">
        <f>F120-1.963351</f>
        <v>0.61954603315881296</v>
      </c>
      <c r="I120">
        <f t="shared" si="37"/>
        <v>688.29060064373073</v>
      </c>
      <c r="J120">
        <f t="shared" si="38"/>
        <v>1809.950432833225</v>
      </c>
      <c r="K120">
        <f t="shared" si="39"/>
        <v>137.65812012874613</v>
      </c>
      <c r="L120">
        <f t="shared" si="40"/>
        <v>361.990086566645</v>
      </c>
      <c r="M120" s="28">
        <f t="shared" si="41"/>
        <v>249.82410334769557</v>
      </c>
      <c r="N120" s="29">
        <f t="shared" si="42"/>
        <v>158.62665470515125</v>
      </c>
      <c r="O120" s="30">
        <f t="shared" si="32"/>
        <v>0.6349533635046446</v>
      </c>
      <c r="P120">
        <v>11.46</v>
      </c>
      <c r="Q120">
        <v>6.6000000000000003E-2</v>
      </c>
      <c r="R120">
        <v>0.99970000000000003</v>
      </c>
    </row>
    <row r="121" spans="1:18">
      <c r="A121" s="31">
        <v>4</v>
      </c>
      <c r="B121" t="s">
        <v>25</v>
      </c>
      <c r="C121" s="16">
        <v>0.33800000000000002</v>
      </c>
      <c r="D121" s="16">
        <v>0.33</v>
      </c>
      <c r="E121">
        <f t="shared" si="33"/>
        <v>2.3734729493891797</v>
      </c>
      <c r="F121">
        <f t="shared" si="34"/>
        <v>2.3036649214659684</v>
      </c>
      <c r="G121">
        <f t="shared" si="35"/>
        <v>0.4275739493891797</v>
      </c>
      <c r="H121">
        <f t="shared" si="36"/>
        <v>0.34031392146596828</v>
      </c>
      <c r="I121">
        <f t="shared" si="37"/>
        <v>1249.1205065415709</v>
      </c>
      <c r="J121">
        <f t="shared" si="38"/>
        <v>994.19784243636661</v>
      </c>
      <c r="K121">
        <f t="shared" si="39"/>
        <v>249.82410130831417</v>
      </c>
      <c r="L121">
        <f t="shared" si="40"/>
        <v>198.83956848727334</v>
      </c>
      <c r="M121" s="28">
        <f t="shared" si="41"/>
        <v>224.33183489779375</v>
      </c>
      <c r="N121" s="29">
        <f t="shared" si="42"/>
        <v>36.051508893386213</v>
      </c>
      <c r="O121" s="30">
        <f t="shared" si="32"/>
        <v>0.1607061650871415</v>
      </c>
      <c r="P121">
        <v>11.46</v>
      </c>
      <c r="Q121">
        <v>6.6000000000000003E-2</v>
      </c>
      <c r="R121">
        <v>0.99970000000000003</v>
      </c>
    </row>
    <row r="122" spans="1:18">
      <c r="A122" s="31">
        <v>4</v>
      </c>
      <c r="B122" t="s">
        <v>26</v>
      </c>
      <c r="C122" s="16">
        <v>0.41899999999999998</v>
      </c>
      <c r="D122" s="16">
        <v>0.38900000000000001</v>
      </c>
      <c r="E122">
        <f t="shared" si="33"/>
        <v>3.0802792321116925</v>
      </c>
      <c r="F122">
        <f t="shared" si="34"/>
        <v>2.8184991273996509</v>
      </c>
      <c r="G122">
        <f t="shared" si="35"/>
        <v>1.1343802321116925</v>
      </c>
      <c r="H122">
        <f t="shared" si="36"/>
        <v>0.85514812739965085</v>
      </c>
      <c r="I122">
        <f t="shared" si="37"/>
        <v>3313.9942509836178</v>
      </c>
      <c r="J122">
        <f t="shared" si="38"/>
        <v>2498.241680980575</v>
      </c>
      <c r="K122">
        <f t="shared" si="39"/>
        <v>662.79885019672361</v>
      </c>
      <c r="L122">
        <f t="shared" si="40"/>
        <v>499.64833619611505</v>
      </c>
      <c r="M122" s="28">
        <f t="shared" si="41"/>
        <v>581.2235931964193</v>
      </c>
      <c r="N122" s="29">
        <f t="shared" si="42"/>
        <v>115.36483480390153</v>
      </c>
      <c r="O122" s="30">
        <f t="shared" si="32"/>
        <v>0.19848615258278929</v>
      </c>
      <c r="P122">
        <v>11.46</v>
      </c>
      <c r="Q122">
        <v>6.6000000000000003E-2</v>
      </c>
      <c r="R122">
        <v>0.99970000000000003</v>
      </c>
    </row>
    <row r="123" spans="1:18">
      <c r="A123" s="31">
        <v>4</v>
      </c>
      <c r="B123" t="s">
        <v>27</v>
      </c>
      <c r="C123" s="16">
        <v>0.39500000000000002</v>
      </c>
      <c r="D123" s="16">
        <v>0.40699999999999997</v>
      </c>
      <c r="E123">
        <f t="shared" si="33"/>
        <v>2.8708551483420592</v>
      </c>
      <c r="F123">
        <f t="shared" si="34"/>
        <v>2.9755671902268759</v>
      </c>
      <c r="G123">
        <f t="shared" si="35"/>
        <v>0.92495614834205919</v>
      </c>
      <c r="H123">
        <f t="shared" si="36"/>
        <v>1.0122161902268758</v>
      </c>
      <c r="I123">
        <f t="shared" si="37"/>
        <v>2702.1798081859747</v>
      </c>
      <c r="J123">
        <f t="shared" si="38"/>
        <v>2957.1025130788075</v>
      </c>
      <c r="K123">
        <f t="shared" si="39"/>
        <v>540.43596163719496</v>
      </c>
      <c r="L123">
        <f t="shared" si="40"/>
        <v>591.42050261576151</v>
      </c>
      <c r="M123" s="28">
        <f t="shared" si="41"/>
        <v>565.92823212647818</v>
      </c>
      <c r="N123" s="29">
        <f t="shared" si="42"/>
        <v>36.051514661627813</v>
      </c>
      <c r="O123" s="30">
        <f t="shared" si="32"/>
        <v>6.3703333064272241E-2</v>
      </c>
      <c r="P123">
        <v>11.46</v>
      </c>
      <c r="Q123">
        <v>6.6000000000000003E-2</v>
      </c>
      <c r="R123">
        <v>0.99970000000000003</v>
      </c>
    </row>
    <row r="124" spans="1:18">
      <c r="A124" s="31">
        <v>5</v>
      </c>
      <c r="B124" t="s">
        <v>28</v>
      </c>
      <c r="C124" s="16">
        <v>0.154</v>
      </c>
      <c r="D124" s="16">
        <v>0.155</v>
      </c>
      <c r="E124">
        <f t="shared" ref="E124:E144" si="43">(C124-0.0455)/11.005*100</f>
        <v>0.98591549295774639</v>
      </c>
      <c r="F124">
        <f t="shared" ref="F124:F159" si="44">(D124-0.0455)/11.005*100</f>
        <v>0.99500227169468414</v>
      </c>
      <c r="N124" s="29"/>
      <c r="O124" s="30" t="e">
        <f t="shared" si="32"/>
        <v>#DIV/0!</v>
      </c>
      <c r="P124">
        <v>11.005000000000001</v>
      </c>
      <c r="Q124">
        <v>4.5499999999999999E-2</v>
      </c>
      <c r="R124">
        <v>0.99980000000000002</v>
      </c>
    </row>
    <row r="125" spans="1:18">
      <c r="A125" s="31">
        <v>5</v>
      </c>
      <c r="B125" t="s">
        <v>41</v>
      </c>
      <c r="C125" s="16">
        <v>0.32200000000000001</v>
      </c>
      <c r="D125" s="16">
        <v>0.29599999999999999</v>
      </c>
      <c r="E125">
        <f t="shared" si="43"/>
        <v>2.5124943207632895</v>
      </c>
      <c r="F125">
        <f t="shared" si="44"/>
        <v>2.2762380736029075</v>
      </c>
      <c r="G125">
        <f t="shared" ref="G125:G144" si="45">E125-0.985915</f>
        <v>1.5265793207632896</v>
      </c>
      <c r="H125">
        <f t="shared" ref="H125:H144" si="46">F125-0.995002</f>
        <v>1.2812360736029076</v>
      </c>
      <c r="I125">
        <f t="shared" ref="I125:I144" si="47">G125/342.3*1000000</f>
        <v>4459.7701453791688</v>
      </c>
      <c r="J125">
        <f t="shared" ref="J125:J144" si="48">H125/342.3*1000000</f>
        <v>3743.0209570637089</v>
      </c>
      <c r="K125">
        <f t="shared" ref="K125:K144" si="49">(I125*0.002)/(1*10)*1000</f>
        <v>891.95402907583377</v>
      </c>
      <c r="L125">
        <f t="shared" ref="L125:L144" si="50">(J125*0.002)/(1*10)*1000</f>
        <v>748.60419141274178</v>
      </c>
      <c r="M125" s="28">
        <f t="shared" ref="M125:M144" si="51">AVERAGE(K125:L125)</f>
        <v>820.27911024428772</v>
      </c>
      <c r="N125" s="29">
        <f t="shared" ref="N125:N144" si="52">STDEV(K125:L125)</f>
        <v>101.36364229356309</v>
      </c>
      <c r="O125" s="30">
        <f t="shared" si="32"/>
        <v>0.12357213663941281</v>
      </c>
      <c r="P125">
        <v>11.005000000000001</v>
      </c>
      <c r="Q125">
        <v>4.5499999999999999E-2</v>
      </c>
      <c r="R125">
        <v>0.99980000000000002</v>
      </c>
    </row>
    <row r="126" spans="1:18">
      <c r="A126" s="31">
        <v>5</v>
      </c>
      <c r="B126" t="s">
        <v>42</v>
      </c>
      <c r="C126" s="16">
        <v>0.41099999999999998</v>
      </c>
      <c r="D126" s="16">
        <v>0.39800000000000002</v>
      </c>
      <c r="E126">
        <f t="shared" si="43"/>
        <v>3.3212176283507491</v>
      </c>
      <c r="F126">
        <f t="shared" si="44"/>
        <v>3.2030895047705585</v>
      </c>
      <c r="G126">
        <f t="shared" si="45"/>
        <v>2.3353026283507492</v>
      </c>
      <c r="H126">
        <f t="shared" si="46"/>
        <v>2.2080875047705586</v>
      </c>
      <c r="I126">
        <f t="shared" si="47"/>
        <v>6822.3857094675705</v>
      </c>
      <c r="J126">
        <f t="shared" si="48"/>
        <v>6450.7376709627761</v>
      </c>
      <c r="K126">
        <f t="shared" si="49"/>
        <v>1364.4771418935143</v>
      </c>
      <c r="L126">
        <f t="shared" si="50"/>
        <v>1290.1475341925552</v>
      </c>
      <c r="M126" s="28">
        <f t="shared" si="51"/>
        <v>1327.3123380430347</v>
      </c>
      <c r="N126" s="29">
        <f t="shared" si="52"/>
        <v>52.558969648283977</v>
      </c>
      <c r="O126" s="30">
        <f t="shared" si="32"/>
        <v>3.9598041954296885E-2</v>
      </c>
      <c r="P126">
        <v>11.005000000000001</v>
      </c>
      <c r="Q126">
        <v>4.5499999999999999E-2</v>
      </c>
      <c r="R126">
        <v>0.99980000000000002</v>
      </c>
    </row>
    <row r="127" spans="1:18">
      <c r="A127" s="31">
        <v>5</v>
      </c>
      <c r="B127" t="s">
        <v>43</v>
      </c>
      <c r="C127" s="16">
        <v>0.26700000000000002</v>
      </c>
      <c r="D127" s="16">
        <v>0.24399999999999999</v>
      </c>
      <c r="E127">
        <f t="shared" si="43"/>
        <v>2.012721490231713</v>
      </c>
      <c r="F127">
        <f t="shared" si="44"/>
        <v>1.8037255792821445</v>
      </c>
      <c r="G127">
        <f t="shared" si="45"/>
        <v>1.0268064902317131</v>
      </c>
      <c r="H127">
        <f t="shared" si="46"/>
        <v>0.80872357928214444</v>
      </c>
      <c r="I127">
        <f t="shared" si="47"/>
        <v>2999.7268192571223</v>
      </c>
      <c r="J127">
        <f t="shared" si="48"/>
        <v>2362.6163578210471</v>
      </c>
      <c r="K127">
        <f t="shared" si="49"/>
        <v>599.94536385142453</v>
      </c>
      <c r="L127">
        <f t="shared" si="50"/>
        <v>472.52327156420944</v>
      </c>
      <c r="M127" s="28">
        <f t="shared" si="51"/>
        <v>536.23431770781701</v>
      </c>
      <c r="N127" s="29">
        <f t="shared" si="52"/>
        <v>90.101025529267304</v>
      </c>
      <c r="O127" s="30">
        <f t="shared" si="32"/>
        <v>0.16802547422629055</v>
      </c>
      <c r="P127">
        <v>11.005000000000001</v>
      </c>
      <c r="Q127">
        <v>4.5499999999999999E-2</v>
      </c>
      <c r="R127">
        <v>0.99980000000000002</v>
      </c>
    </row>
    <row r="128" spans="1:18">
      <c r="A128" s="31">
        <v>5</v>
      </c>
      <c r="B128" t="s">
        <v>44</v>
      </c>
      <c r="C128" s="16">
        <v>0.28599999999999998</v>
      </c>
      <c r="D128" s="16">
        <v>0.27400000000000002</v>
      </c>
      <c r="E128">
        <f t="shared" si="43"/>
        <v>2.18537028623353</v>
      </c>
      <c r="F128">
        <f t="shared" si="44"/>
        <v>2.0763289413902775</v>
      </c>
      <c r="G128">
        <f t="shared" si="45"/>
        <v>1.1994552862335301</v>
      </c>
      <c r="H128">
        <f t="shared" si="46"/>
        <v>1.0813269413902775</v>
      </c>
      <c r="I128">
        <f t="shared" si="47"/>
        <v>3504.1054228265557</v>
      </c>
      <c r="J128">
        <f t="shared" si="48"/>
        <v>3159.0036266148918</v>
      </c>
      <c r="K128">
        <f t="shared" si="49"/>
        <v>700.82108456531114</v>
      </c>
      <c r="L128">
        <f t="shared" si="50"/>
        <v>631.80072532297834</v>
      </c>
      <c r="M128" s="28">
        <f t="shared" si="51"/>
        <v>666.3109049441448</v>
      </c>
      <c r="N128" s="29">
        <f t="shared" si="52"/>
        <v>48.804764060185121</v>
      </c>
      <c r="O128" s="30">
        <f t="shared" si="32"/>
        <v>7.3246233399521354E-2</v>
      </c>
      <c r="P128">
        <v>11.005000000000001</v>
      </c>
      <c r="Q128">
        <v>4.5499999999999999E-2</v>
      </c>
      <c r="R128">
        <v>0.99980000000000002</v>
      </c>
    </row>
    <row r="129" spans="1:18">
      <c r="A129" s="31">
        <v>5</v>
      </c>
      <c r="B129" t="s">
        <v>45</v>
      </c>
      <c r="C129" s="16">
        <v>0.34300000000000003</v>
      </c>
      <c r="D129" s="16">
        <v>0.30399999999999999</v>
      </c>
      <c r="E129">
        <f t="shared" si="43"/>
        <v>2.7033166742389825</v>
      </c>
      <c r="F129">
        <f t="shared" si="44"/>
        <v>2.34893230349841</v>
      </c>
      <c r="G129">
        <f t="shared" si="45"/>
        <v>1.7174016742389826</v>
      </c>
      <c r="H129">
        <f t="shared" si="46"/>
        <v>1.35393030349841</v>
      </c>
      <c r="I129">
        <f t="shared" si="47"/>
        <v>5017.2412335348599</v>
      </c>
      <c r="J129">
        <f t="shared" si="48"/>
        <v>3955.3908954087347</v>
      </c>
      <c r="K129">
        <f t="shared" si="49"/>
        <v>1003.4482467069721</v>
      </c>
      <c r="L129">
        <f t="shared" si="50"/>
        <v>791.07817908174695</v>
      </c>
      <c r="M129" s="28">
        <f t="shared" si="51"/>
        <v>897.26321289435953</v>
      </c>
      <c r="N129" s="29">
        <f t="shared" si="52"/>
        <v>150.16831493884243</v>
      </c>
      <c r="O129" s="30">
        <f t="shared" si="32"/>
        <v>0.16736261197473465</v>
      </c>
      <c r="P129">
        <v>11.005000000000001</v>
      </c>
      <c r="Q129">
        <v>4.5499999999999999E-2</v>
      </c>
      <c r="R129">
        <v>0.99980000000000002</v>
      </c>
    </row>
    <row r="130" spans="1:18">
      <c r="A130" s="31">
        <v>5</v>
      </c>
      <c r="B130" t="s">
        <v>46</v>
      </c>
      <c r="C130" s="16">
        <v>0.312</v>
      </c>
      <c r="D130" s="16">
        <v>0.29799999999999999</v>
      </c>
      <c r="E130">
        <f t="shared" si="43"/>
        <v>2.4216265333939115</v>
      </c>
      <c r="F130">
        <f t="shared" si="44"/>
        <v>2.294411631076783</v>
      </c>
      <c r="G130">
        <f t="shared" si="45"/>
        <v>1.4357115333939117</v>
      </c>
      <c r="H130">
        <f t="shared" si="46"/>
        <v>1.2994096310767831</v>
      </c>
      <c r="I130">
        <f t="shared" si="47"/>
        <v>4194.3077224478866</v>
      </c>
      <c r="J130">
        <f t="shared" si="48"/>
        <v>3796.1134416499654</v>
      </c>
      <c r="K130">
        <f t="shared" si="49"/>
        <v>838.86154448957723</v>
      </c>
      <c r="L130">
        <f t="shared" si="50"/>
        <v>759.22268832999305</v>
      </c>
      <c r="M130" s="28">
        <f t="shared" si="51"/>
        <v>799.04211640978519</v>
      </c>
      <c r="N130" s="29">
        <f t="shared" si="52"/>
        <v>56.313175236382023</v>
      </c>
      <c r="O130" s="30">
        <f t="shared" si="32"/>
        <v>7.0475853625094856E-2</v>
      </c>
      <c r="P130">
        <v>11.005000000000001</v>
      </c>
      <c r="Q130">
        <v>4.5499999999999999E-2</v>
      </c>
      <c r="R130">
        <v>0.99980000000000002</v>
      </c>
    </row>
    <row r="131" spans="1:18">
      <c r="A131" s="31">
        <v>5</v>
      </c>
      <c r="B131" t="s">
        <v>47</v>
      </c>
      <c r="C131" s="16">
        <v>0.27100000000000002</v>
      </c>
      <c r="D131" s="16">
        <v>0.25800000000000001</v>
      </c>
      <c r="E131">
        <f t="shared" si="43"/>
        <v>2.049068605179464</v>
      </c>
      <c r="F131">
        <f t="shared" si="44"/>
        <v>1.930940481599273</v>
      </c>
      <c r="G131">
        <f t="shared" si="45"/>
        <v>1.0631536051794641</v>
      </c>
      <c r="H131">
        <f t="shared" si="46"/>
        <v>0.93593848159927295</v>
      </c>
      <c r="I131">
        <f t="shared" si="47"/>
        <v>3105.9117884296352</v>
      </c>
      <c r="J131">
        <f t="shared" si="48"/>
        <v>2734.2637499248403</v>
      </c>
      <c r="K131">
        <f t="shared" si="49"/>
        <v>621.18235768592695</v>
      </c>
      <c r="L131">
        <f t="shared" si="50"/>
        <v>546.852749984968</v>
      </c>
      <c r="M131" s="28">
        <f t="shared" si="51"/>
        <v>584.01755383544742</v>
      </c>
      <c r="N131" s="29">
        <f t="shared" si="52"/>
        <v>52.558969648283899</v>
      </c>
      <c r="O131" s="30">
        <f t="shared" si="32"/>
        <v>8.9995530619089742E-2</v>
      </c>
      <c r="P131">
        <v>11.005000000000001</v>
      </c>
      <c r="Q131">
        <v>4.5499999999999999E-2</v>
      </c>
      <c r="R131">
        <v>0.99980000000000002</v>
      </c>
    </row>
    <row r="132" spans="1:18">
      <c r="A132" s="31">
        <v>5</v>
      </c>
      <c r="B132" t="s">
        <v>48</v>
      </c>
      <c r="C132" s="16">
        <v>0.28899999999999998</v>
      </c>
      <c r="D132" s="16">
        <v>0.254</v>
      </c>
      <c r="E132">
        <f t="shared" si="43"/>
        <v>2.2126306224443435</v>
      </c>
      <c r="F132">
        <f t="shared" si="44"/>
        <v>1.894593366651522</v>
      </c>
      <c r="G132">
        <f t="shared" si="45"/>
        <v>1.2267156224443436</v>
      </c>
      <c r="H132">
        <f t="shared" si="46"/>
        <v>0.89959136665152195</v>
      </c>
      <c r="I132">
        <f t="shared" si="47"/>
        <v>3583.7441497059413</v>
      </c>
      <c r="J132">
        <f t="shared" si="48"/>
        <v>2628.0787807523279</v>
      </c>
      <c r="K132">
        <f t="shared" si="49"/>
        <v>716.74882994118832</v>
      </c>
      <c r="L132">
        <f t="shared" si="50"/>
        <v>525.61575615046559</v>
      </c>
      <c r="M132" s="28">
        <f t="shared" si="51"/>
        <v>621.18229304582701</v>
      </c>
      <c r="N132" s="29">
        <f t="shared" si="52"/>
        <v>135.15149258644817</v>
      </c>
      <c r="O132" s="30">
        <f t="shared" ref="O132:O194" si="53">N132/M132</f>
        <v>0.21757138620897154</v>
      </c>
      <c r="P132">
        <v>11.005000000000001</v>
      </c>
      <c r="Q132">
        <v>4.5499999999999999E-2</v>
      </c>
      <c r="R132">
        <v>0.99980000000000002</v>
      </c>
    </row>
    <row r="133" spans="1:18">
      <c r="A133" s="31">
        <v>5</v>
      </c>
      <c r="B133" t="s">
        <v>144</v>
      </c>
      <c r="C133" s="16">
        <v>0.25</v>
      </c>
      <c r="D133" s="16">
        <v>0.23200000000000001</v>
      </c>
      <c r="E133">
        <f t="shared" si="43"/>
        <v>1.8582462517037708</v>
      </c>
      <c r="F133">
        <f t="shared" si="44"/>
        <v>1.6946842344388913</v>
      </c>
      <c r="G133">
        <f t="shared" si="45"/>
        <v>0.87233125170377079</v>
      </c>
      <c r="H133">
        <f t="shared" si="46"/>
        <v>0.69968223443889122</v>
      </c>
      <c r="I133">
        <f t="shared" si="47"/>
        <v>2548.4407002739435</v>
      </c>
      <c r="J133">
        <f t="shared" si="48"/>
        <v>2044.0614503035092</v>
      </c>
      <c r="K133">
        <f t="shared" si="49"/>
        <v>509.68814005478868</v>
      </c>
      <c r="L133">
        <f t="shared" si="50"/>
        <v>408.81229006070186</v>
      </c>
      <c r="M133" s="28">
        <f t="shared" si="51"/>
        <v>459.25021505774527</v>
      </c>
      <c r="N133" s="29">
        <f t="shared" si="52"/>
        <v>71.329997588775399</v>
      </c>
      <c r="O133" s="30">
        <f t="shared" si="53"/>
        <v>0.15531837601819412</v>
      </c>
      <c r="P133">
        <v>11.005000000000001</v>
      </c>
      <c r="Q133">
        <v>4.5499999999999999E-2</v>
      </c>
      <c r="R133">
        <v>0.99980000000000002</v>
      </c>
    </row>
    <row r="134" spans="1:18">
      <c r="A134" s="31">
        <v>5</v>
      </c>
      <c r="B134" t="s">
        <v>49</v>
      </c>
      <c r="C134" s="16">
        <v>0.29199999999999998</v>
      </c>
      <c r="D134" s="16">
        <v>0.26200000000000001</v>
      </c>
      <c r="E134">
        <f t="shared" si="43"/>
        <v>2.2398909586551565</v>
      </c>
      <c r="F134">
        <f t="shared" si="44"/>
        <v>1.9672875965470242</v>
      </c>
      <c r="G134">
        <f t="shared" si="45"/>
        <v>1.2539759586551567</v>
      </c>
      <c r="H134">
        <f t="shared" si="46"/>
        <v>0.97228559654702418</v>
      </c>
      <c r="I134">
        <f t="shared" si="47"/>
        <v>3663.3828765853245</v>
      </c>
      <c r="J134">
        <f t="shared" si="48"/>
        <v>2840.4487190973537</v>
      </c>
      <c r="K134">
        <f t="shared" si="49"/>
        <v>732.67657531706493</v>
      </c>
      <c r="L134">
        <f t="shared" si="50"/>
        <v>568.08974381947075</v>
      </c>
      <c r="M134" s="28">
        <f t="shared" si="51"/>
        <v>650.38315956826784</v>
      </c>
      <c r="N134" s="29">
        <f t="shared" si="52"/>
        <v>116.38046464595608</v>
      </c>
      <c r="O134" s="30">
        <f t="shared" si="53"/>
        <v>0.17894138698672768</v>
      </c>
      <c r="P134">
        <v>11.005000000000001</v>
      </c>
      <c r="Q134">
        <v>4.5499999999999999E-2</v>
      </c>
      <c r="R134">
        <v>0.99980000000000002</v>
      </c>
    </row>
    <row r="135" spans="1:18">
      <c r="A135" s="31">
        <v>5</v>
      </c>
      <c r="B135" t="s">
        <v>50</v>
      </c>
      <c r="C135" s="16">
        <v>0.27700000000000002</v>
      </c>
      <c r="D135" s="16">
        <v>0.26</v>
      </c>
      <c r="E135">
        <f t="shared" si="43"/>
        <v>2.1035892776010905</v>
      </c>
      <c r="F135">
        <f t="shared" si="44"/>
        <v>1.9491140390731485</v>
      </c>
      <c r="G135">
        <f t="shared" si="45"/>
        <v>1.1176742776010906</v>
      </c>
      <c r="H135">
        <f t="shared" si="46"/>
        <v>0.95411203907314845</v>
      </c>
      <c r="I135">
        <f t="shared" si="47"/>
        <v>3265.189242188404</v>
      </c>
      <c r="J135">
        <f t="shared" si="48"/>
        <v>2787.3562345110968</v>
      </c>
      <c r="K135">
        <f t="shared" si="49"/>
        <v>653.03784843768074</v>
      </c>
      <c r="L135">
        <f t="shared" si="50"/>
        <v>557.47124690221938</v>
      </c>
      <c r="M135" s="28">
        <f t="shared" si="51"/>
        <v>605.25454766995006</v>
      </c>
      <c r="N135" s="29">
        <f t="shared" si="52"/>
        <v>67.575792000677453</v>
      </c>
      <c r="O135" s="30">
        <f t="shared" si="53"/>
        <v>0.11164854896311667</v>
      </c>
      <c r="P135">
        <v>11.005000000000001</v>
      </c>
      <c r="Q135">
        <v>4.5499999999999999E-2</v>
      </c>
      <c r="R135">
        <v>0.99980000000000002</v>
      </c>
    </row>
    <row r="136" spans="1:18">
      <c r="A136" s="31">
        <v>5</v>
      </c>
      <c r="B136" t="s">
        <v>51</v>
      </c>
      <c r="C136" s="16">
        <v>0.33400000000000002</v>
      </c>
      <c r="D136" s="16">
        <v>0.31900000000000001</v>
      </c>
      <c r="E136">
        <f t="shared" si="43"/>
        <v>2.6215356656065425</v>
      </c>
      <c r="F136">
        <f t="shared" si="44"/>
        <v>2.485233984552476</v>
      </c>
      <c r="G136">
        <f t="shared" si="45"/>
        <v>1.6356206656065426</v>
      </c>
      <c r="H136">
        <f t="shared" si="46"/>
        <v>1.4902319845524761</v>
      </c>
      <c r="I136">
        <f t="shared" si="47"/>
        <v>4778.3250528967064</v>
      </c>
      <c r="J136">
        <f t="shared" si="48"/>
        <v>4353.5845298056556</v>
      </c>
      <c r="K136">
        <f t="shared" si="49"/>
        <v>955.66501057934124</v>
      </c>
      <c r="L136">
        <f t="shared" si="50"/>
        <v>870.71690596113115</v>
      </c>
      <c r="M136" s="28">
        <f t="shared" si="51"/>
        <v>913.19095827023625</v>
      </c>
      <c r="N136" s="29">
        <f t="shared" si="52"/>
        <v>60.067380824480637</v>
      </c>
      <c r="O136" s="30">
        <f t="shared" si="53"/>
        <v>6.5777459008420427E-2</v>
      </c>
      <c r="P136">
        <v>11.005000000000001</v>
      </c>
      <c r="Q136">
        <v>4.5499999999999999E-2</v>
      </c>
      <c r="R136">
        <v>0.99980000000000002</v>
      </c>
    </row>
    <row r="137" spans="1:18">
      <c r="A137" s="31">
        <v>5</v>
      </c>
      <c r="B137" t="s">
        <v>52</v>
      </c>
      <c r="C137" s="16">
        <v>0.34699999999999998</v>
      </c>
      <c r="D137" s="16">
        <v>0.311</v>
      </c>
      <c r="E137">
        <f t="shared" si="43"/>
        <v>2.739663789186733</v>
      </c>
      <c r="F137">
        <f t="shared" si="44"/>
        <v>2.412539754656974</v>
      </c>
      <c r="G137">
        <f t="shared" si="45"/>
        <v>1.7537487891867332</v>
      </c>
      <c r="H137">
        <f t="shared" si="46"/>
        <v>1.4175377546569741</v>
      </c>
      <c r="I137">
        <f t="shared" si="47"/>
        <v>5123.426202707371</v>
      </c>
      <c r="J137">
        <f t="shared" si="48"/>
        <v>4141.2145914606308</v>
      </c>
      <c r="K137">
        <f t="shared" si="49"/>
        <v>1024.6852405414741</v>
      </c>
      <c r="L137">
        <f t="shared" si="50"/>
        <v>828.24291829212621</v>
      </c>
      <c r="M137" s="28">
        <f t="shared" si="51"/>
        <v>926.46407941680013</v>
      </c>
      <c r="N137" s="29">
        <f t="shared" si="52"/>
        <v>138.90569817454673</v>
      </c>
      <c r="O137" s="30">
        <f t="shared" si="53"/>
        <v>0.14993101325848107</v>
      </c>
      <c r="P137">
        <v>11.005000000000001</v>
      </c>
      <c r="Q137">
        <v>4.5499999999999999E-2</v>
      </c>
      <c r="R137">
        <v>0.99980000000000002</v>
      </c>
    </row>
    <row r="138" spans="1:18">
      <c r="A138" s="31">
        <v>5</v>
      </c>
      <c r="B138" t="s">
        <v>53</v>
      </c>
      <c r="C138" s="16">
        <v>0.24</v>
      </c>
      <c r="D138" s="16">
        <v>0.23899999999999999</v>
      </c>
      <c r="E138">
        <f t="shared" si="43"/>
        <v>1.7673784643343935</v>
      </c>
      <c r="F138">
        <f t="shared" si="44"/>
        <v>1.7582916855974555</v>
      </c>
      <c r="G138">
        <f t="shared" si="45"/>
        <v>0.78146346433439351</v>
      </c>
      <c r="H138">
        <f t="shared" si="46"/>
        <v>0.76328968559745547</v>
      </c>
      <c r="I138">
        <f t="shared" si="47"/>
        <v>2282.9782773426628</v>
      </c>
      <c r="J138">
        <f t="shared" si="48"/>
        <v>2229.8851463554061</v>
      </c>
      <c r="K138">
        <f t="shared" si="49"/>
        <v>456.59565546853258</v>
      </c>
      <c r="L138">
        <f t="shared" si="50"/>
        <v>445.97702927108116</v>
      </c>
      <c r="M138" s="28">
        <f t="shared" si="51"/>
        <v>451.2863423698069</v>
      </c>
      <c r="N138" s="29">
        <f t="shared" si="52"/>
        <v>7.5085025911030217</v>
      </c>
      <c r="O138" s="30">
        <f t="shared" si="53"/>
        <v>1.6638000945639463E-2</v>
      </c>
      <c r="P138">
        <v>11.005000000000001</v>
      </c>
      <c r="Q138">
        <v>4.5499999999999999E-2</v>
      </c>
      <c r="R138">
        <v>0.99980000000000002</v>
      </c>
    </row>
    <row r="139" spans="1:18">
      <c r="A139" s="31">
        <v>5</v>
      </c>
      <c r="B139" t="s">
        <v>54</v>
      </c>
      <c r="C139" s="16">
        <v>0.318</v>
      </c>
      <c r="D139" s="16">
        <v>0.29299999999999998</v>
      </c>
      <c r="E139">
        <f t="shared" si="43"/>
        <v>2.4761472058155385</v>
      </c>
      <c r="F139">
        <f t="shared" si="44"/>
        <v>2.2489777373920941</v>
      </c>
      <c r="G139">
        <f t="shared" si="45"/>
        <v>1.4902322058155386</v>
      </c>
      <c r="H139">
        <f t="shared" si="46"/>
        <v>1.2539757373920941</v>
      </c>
      <c r="I139">
        <f t="shared" si="47"/>
        <v>4353.5851762066568</v>
      </c>
      <c r="J139">
        <f t="shared" si="48"/>
        <v>3663.3822301843238</v>
      </c>
      <c r="K139">
        <f t="shared" si="49"/>
        <v>870.71703524133136</v>
      </c>
      <c r="L139">
        <f t="shared" si="50"/>
        <v>732.67644603686472</v>
      </c>
      <c r="M139" s="28">
        <f t="shared" si="51"/>
        <v>801.69674063909804</v>
      </c>
      <c r="N139" s="29">
        <f t="shared" si="52"/>
        <v>97.609436705464887</v>
      </c>
      <c r="O139" s="30">
        <f t="shared" si="53"/>
        <v>0.12175356560343806</v>
      </c>
      <c r="P139">
        <v>11.005000000000001</v>
      </c>
      <c r="Q139">
        <v>4.5499999999999999E-2</v>
      </c>
      <c r="R139">
        <v>0.99980000000000002</v>
      </c>
    </row>
    <row r="140" spans="1:18">
      <c r="A140" s="31">
        <v>5</v>
      </c>
      <c r="B140" t="s">
        <v>141</v>
      </c>
      <c r="C140" s="16">
        <v>0.30099999999999999</v>
      </c>
      <c r="D140" s="16">
        <v>0.33700000000000002</v>
      </c>
      <c r="E140">
        <f t="shared" si="43"/>
        <v>2.3216719672875965</v>
      </c>
      <c r="F140">
        <f t="shared" si="44"/>
        <v>2.648796001817356</v>
      </c>
      <c r="G140">
        <f t="shared" si="45"/>
        <v>1.3357569672875966</v>
      </c>
      <c r="H140">
        <f t="shared" si="46"/>
        <v>1.653794001817356</v>
      </c>
      <c r="I140">
        <f t="shared" si="47"/>
        <v>3902.2990572234785</v>
      </c>
      <c r="J140">
        <f t="shared" si="48"/>
        <v>4831.4168910819635</v>
      </c>
      <c r="K140">
        <f t="shared" si="49"/>
        <v>780.45981144469567</v>
      </c>
      <c r="L140">
        <f t="shared" si="50"/>
        <v>966.28337821639275</v>
      </c>
      <c r="M140" s="28">
        <f t="shared" si="51"/>
        <v>873.37159483054415</v>
      </c>
      <c r="N140" s="29">
        <f t="shared" si="52"/>
        <v>131.39710416853814</v>
      </c>
      <c r="O140" s="30">
        <f t="shared" si="53"/>
        <v>0.15044810816641277</v>
      </c>
      <c r="P140">
        <v>11.005000000000001</v>
      </c>
      <c r="Q140">
        <v>4.5499999999999999E-2</v>
      </c>
      <c r="R140">
        <v>0.99980000000000002</v>
      </c>
    </row>
    <row r="141" spans="1:18">
      <c r="A141" s="31">
        <v>5</v>
      </c>
      <c r="B141" t="s">
        <v>147</v>
      </c>
      <c r="C141" s="16">
        <v>0.2</v>
      </c>
      <c r="D141" s="16">
        <v>0.219</v>
      </c>
      <c r="E141">
        <f t="shared" si="43"/>
        <v>1.4039073148568832</v>
      </c>
      <c r="F141">
        <f t="shared" si="44"/>
        <v>1.5765561108587005</v>
      </c>
      <c r="G141">
        <f t="shared" si="45"/>
        <v>0.41799231485688326</v>
      </c>
      <c r="H141">
        <f t="shared" si="46"/>
        <v>0.58155411085870046</v>
      </c>
      <c r="I141">
        <f t="shared" si="47"/>
        <v>1221.128585617538</v>
      </c>
      <c r="J141">
        <f t="shared" si="48"/>
        <v>1698.9603004928438</v>
      </c>
      <c r="K141">
        <f t="shared" si="49"/>
        <v>244.22571712350759</v>
      </c>
      <c r="L141">
        <f t="shared" si="50"/>
        <v>339.79206009856875</v>
      </c>
      <c r="M141" s="28">
        <f t="shared" si="51"/>
        <v>292.00888861103817</v>
      </c>
      <c r="N141" s="29">
        <f t="shared" si="52"/>
        <v>67.575609170865036</v>
      </c>
      <c r="O141" s="30">
        <f t="shared" si="53"/>
        <v>0.23141627466305362</v>
      </c>
      <c r="P141">
        <v>11.005000000000001</v>
      </c>
      <c r="Q141">
        <v>4.5499999999999999E-2</v>
      </c>
      <c r="R141">
        <v>0.99980000000000002</v>
      </c>
    </row>
    <row r="142" spans="1:18">
      <c r="A142" s="31">
        <v>5</v>
      </c>
      <c r="B142" t="s">
        <v>146</v>
      </c>
      <c r="C142" s="16">
        <v>0.29699999999999999</v>
      </c>
      <c r="D142" s="16">
        <v>0.307</v>
      </c>
      <c r="E142">
        <f t="shared" si="43"/>
        <v>2.2853248523398451</v>
      </c>
      <c r="F142">
        <f t="shared" si="44"/>
        <v>2.376192639709223</v>
      </c>
      <c r="G142">
        <f t="shared" si="45"/>
        <v>1.2994098523398452</v>
      </c>
      <c r="H142">
        <f t="shared" si="46"/>
        <v>1.3811906397092231</v>
      </c>
      <c r="I142">
        <f t="shared" si="47"/>
        <v>3796.1140880509643</v>
      </c>
      <c r="J142">
        <f t="shared" si="48"/>
        <v>4035.0296222881184</v>
      </c>
      <c r="K142">
        <f t="shared" si="49"/>
        <v>759.22281761019292</v>
      </c>
      <c r="L142">
        <f t="shared" si="50"/>
        <v>807.00592445762379</v>
      </c>
      <c r="M142" s="28">
        <f t="shared" si="51"/>
        <v>783.11437103390836</v>
      </c>
      <c r="N142" s="29">
        <f t="shared" si="52"/>
        <v>33.787758877979719</v>
      </c>
      <c r="O142" s="30">
        <f t="shared" si="53"/>
        <v>4.314536947313502E-2</v>
      </c>
      <c r="P142">
        <v>11.005000000000001</v>
      </c>
      <c r="Q142">
        <v>4.5499999999999999E-2</v>
      </c>
      <c r="R142">
        <v>0.99980000000000002</v>
      </c>
    </row>
    <row r="143" spans="1:18">
      <c r="A143" s="31">
        <v>5</v>
      </c>
      <c r="B143" t="s">
        <v>57</v>
      </c>
      <c r="C143" s="16">
        <v>0.28899999999999998</v>
      </c>
      <c r="D143" s="16">
        <v>0.252</v>
      </c>
      <c r="E143">
        <f t="shared" si="43"/>
        <v>2.2126306224443435</v>
      </c>
      <c r="F143">
        <f t="shared" si="44"/>
        <v>1.8764198091776465</v>
      </c>
      <c r="G143">
        <f t="shared" si="45"/>
        <v>1.2267156224443436</v>
      </c>
      <c r="H143">
        <f t="shared" si="46"/>
        <v>0.88141780917764645</v>
      </c>
      <c r="I143">
        <f t="shared" si="47"/>
        <v>3583.7441497059413</v>
      </c>
      <c r="J143">
        <f t="shared" si="48"/>
        <v>2574.986296166072</v>
      </c>
      <c r="K143">
        <f t="shared" si="49"/>
        <v>716.74882994118832</v>
      </c>
      <c r="L143">
        <f t="shared" si="50"/>
        <v>514.99725923321432</v>
      </c>
      <c r="M143" s="28">
        <f t="shared" si="51"/>
        <v>615.87304458720132</v>
      </c>
      <c r="N143" s="29">
        <f t="shared" si="52"/>
        <v>142.65990376264523</v>
      </c>
      <c r="O143" s="30">
        <f t="shared" si="53"/>
        <v>0.23163849273232162</v>
      </c>
      <c r="P143">
        <v>11.005000000000001</v>
      </c>
      <c r="Q143">
        <v>4.5499999999999999E-2</v>
      </c>
      <c r="R143">
        <v>0.99980000000000002</v>
      </c>
    </row>
    <row r="144" spans="1:18">
      <c r="A144" s="31">
        <v>5</v>
      </c>
      <c r="B144" t="s">
        <v>15</v>
      </c>
      <c r="C144" s="38">
        <v>0.379</v>
      </c>
      <c r="D144" s="38">
        <v>0.35799999999999998</v>
      </c>
      <c r="E144">
        <f t="shared" si="43"/>
        <v>3.0304407087687415</v>
      </c>
      <c r="F144">
        <f t="shared" si="44"/>
        <v>2.8396183552930485</v>
      </c>
      <c r="G144">
        <f t="shared" si="45"/>
        <v>2.0445257087687416</v>
      </c>
      <c r="H144">
        <f t="shared" si="46"/>
        <v>1.8446163552930486</v>
      </c>
      <c r="I144">
        <f t="shared" si="47"/>
        <v>5972.9059560874721</v>
      </c>
      <c r="J144">
        <f t="shared" si="48"/>
        <v>5388.8879792376529</v>
      </c>
      <c r="K144">
        <f t="shared" si="49"/>
        <v>1194.5811912174945</v>
      </c>
      <c r="L144">
        <f t="shared" si="50"/>
        <v>1077.7775958475306</v>
      </c>
      <c r="M144" s="28">
        <f t="shared" si="51"/>
        <v>1136.1793935325127</v>
      </c>
      <c r="N144" s="29">
        <f t="shared" si="52"/>
        <v>82.592614353071085</v>
      </c>
      <c r="O144" s="30">
        <f t="shared" si="53"/>
        <v>7.2693286661608195E-2</v>
      </c>
      <c r="P144">
        <v>11.005000000000001</v>
      </c>
      <c r="Q144">
        <v>4.5499999999999999E-2</v>
      </c>
      <c r="R144">
        <v>0.99980000000000002</v>
      </c>
    </row>
    <row r="145" spans="1:24">
      <c r="A145" s="31">
        <v>6</v>
      </c>
      <c r="B145" t="s">
        <v>28</v>
      </c>
      <c r="C145" s="44">
        <v>0.19800000000000001</v>
      </c>
      <c r="D145" s="16">
        <v>0.16900000000000001</v>
      </c>
      <c r="N145" s="29"/>
      <c r="O145" s="30"/>
    </row>
    <row r="146" spans="1:24">
      <c r="A146" s="31">
        <v>6</v>
      </c>
      <c r="B146" t="s">
        <v>15</v>
      </c>
      <c r="C146" s="45">
        <v>0.46100000000000002</v>
      </c>
      <c r="D146" s="16">
        <v>0.26900000000000002</v>
      </c>
      <c r="M146">
        <v>1294.5777129340379</v>
      </c>
      <c r="N146" s="29"/>
      <c r="O146" s="30"/>
    </row>
    <row r="147" spans="1:24">
      <c r="A147" s="31">
        <v>6</v>
      </c>
      <c r="B147" t="s">
        <v>240</v>
      </c>
      <c r="C147" s="46">
        <v>0.40799999999999997</v>
      </c>
      <c r="D147" s="16">
        <v>0.184</v>
      </c>
      <c r="M147">
        <v>1033.6932308598775</v>
      </c>
      <c r="N147" s="29"/>
      <c r="O147" s="30"/>
    </row>
    <row r="148" spans="1:24">
      <c r="A148" s="31">
        <v>6</v>
      </c>
      <c r="B148" t="s">
        <v>241</v>
      </c>
      <c r="C148" s="44">
        <v>0.192</v>
      </c>
      <c r="D148" s="16">
        <v>0.42499999999999999</v>
      </c>
      <c r="M148">
        <v>-29.534092310282237</v>
      </c>
      <c r="N148" s="29"/>
      <c r="O148" s="30"/>
    </row>
    <row r="149" spans="1:24">
      <c r="A149" s="31">
        <v>6</v>
      </c>
      <c r="B149" t="s">
        <v>159</v>
      </c>
      <c r="C149" s="47">
        <v>0.36899999999999999</v>
      </c>
      <c r="D149" s="16">
        <v>0.17799999999999999</v>
      </c>
      <c r="M149">
        <v>841.72163084304327</v>
      </c>
      <c r="N149" s="29"/>
      <c r="O149" s="30"/>
    </row>
    <row r="150" spans="1:24">
      <c r="A150" s="31">
        <v>6</v>
      </c>
      <c r="B150" t="s">
        <v>242</v>
      </c>
      <c r="C150" s="47">
        <v>0.38700000000000001</v>
      </c>
      <c r="D150" s="16">
        <v>0.35399999999999998</v>
      </c>
      <c r="M150">
        <v>930.32390777388991</v>
      </c>
      <c r="N150" s="29"/>
      <c r="O150" s="30"/>
    </row>
    <row r="151" spans="1:24">
      <c r="A151" s="31">
        <v>6</v>
      </c>
      <c r="B151" t="s">
        <v>152</v>
      </c>
      <c r="C151" s="46">
        <v>0.41399999999999998</v>
      </c>
      <c r="D151" s="16">
        <v>0.38700000000000001</v>
      </c>
      <c r="M151">
        <v>1063.2273231701599</v>
      </c>
      <c r="N151" s="29"/>
      <c r="O151" s="30"/>
    </row>
    <row r="152" spans="1:24">
      <c r="A152" s="31">
        <v>6</v>
      </c>
      <c r="B152" t="s">
        <v>243</v>
      </c>
      <c r="C152" s="44">
        <v>0.189</v>
      </c>
      <c r="D152" s="16">
        <v>0.182</v>
      </c>
      <c r="M152">
        <v>-44.301138465423342</v>
      </c>
      <c r="N152" s="29"/>
      <c r="O152" s="30"/>
    </row>
    <row r="153" spans="1:24">
      <c r="A153" s="31">
        <v>6</v>
      </c>
      <c r="B153" t="s">
        <v>151</v>
      </c>
      <c r="C153" s="44">
        <v>0.188</v>
      </c>
      <c r="D153" s="16">
        <v>0.26600000000000001</v>
      </c>
      <c r="M153">
        <v>-49.223487183803719</v>
      </c>
      <c r="N153" s="29"/>
      <c r="O153" s="30"/>
    </row>
    <row r="154" spans="1:24">
      <c r="A154" s="31">
        <v>6</v>
      </c>
      <c r="B154" t="s">
        <v>155</v>
      </c>
      <c r="C154" s="48">
        <v>0.60099999999999998</v>
      </c>
      <c r="D154" s="16">
        <v>0.17899999999999999</v>
      </c>
      <c r="M154">
        <v>1983.7065335072884</v>
      </c>
      <c r="N154" s="29"/>
      <c r="O154" s="30"/>
    </row>
    <row r="155" spans="1:24">
      <c r="A155" s="31">
        <v>6</v>
      </c>
      <c r="B155" t="s">
        <v>244</v>
      </c>
      <c r="C155" s="49">
        <v>0.48499999999999999</v>
      </c>
      <c r="D155" s="16">
        <v>0.19900000000000001</v>
      </c>
      <c r="M155">
        <v>1412.7140821751664</v>
      </c>
      <c r="N155" s="29"/>
      <c r="O155" s="30"/>
    </row>
    <row r="156" spans="1:24">
      <c r="A156" s="31">
        <v>6</v>
      </c>
      <c r="B156" t="s">
        <v>160</v>
      </c>
      <c r="C156" s="47">
        <v>0.36799999999999999</v>
      </c>
      <c r="D156" s="16">
        <v>0.249</v>
      </c>
      <c r="M156">
        <v>905.7121641819881</v>
      </c>
      <c r="N156" s="29"/>
      <c r="O156" s="30"/>
    </row>
    <row r="157" spans="1:24">
      <c r="A157" s="31">
        <v>6</v>
      </c>
      <c r="B157" s="50" t="s">
        <v>245</v>
      </c>
      <c r="C157" s="51">
        <v>0.502</v>
      </c>
      <c r="D157" s="16">
        <v>0.375</v>
      </c>
      <c r="M157">
        <v>1565.3068924449581</v>
      </c>
      <c r="N157" s="29"/>
      <c r="O157" s="30"/>
      <c r="U157" s="50"/>
      <c r="V157" s="50"/>
      <c r="W157" s="50"/>
      <c r="X157" s="50"/>
    </row>
    <row r="158" spans="1:24">
      <c r="A158" s="31">
        <v>6</v>
      </c>
      <c r="B158" t="s">
        <v>246</v>
      </c>
      <c r="C158" s="44">
        <v>0.188</v>
      </c>
      <c r="D158" s="16">
        <v>0.374</v>
      </c>
      <c r="M158">
        <v>19.689394873521483</v>
      </c>
      <c r="N158" s="29"/>
      <c r="O158" s="30"/>
    </row>
    <row r="159" spans="1:24">
      <c r="A159" s="31">
        <v>6</v>
      </c>
      <c r="B159" s="50" t="s">
        <v>247</v>
      </c>
      <c r="C159" s="52">
        <v>0.183</v>
      </c>
      <c r="D159" s="16">
        <v>0.188</v>
      </c>
      <c r="M159">
        <v>-4.9223487183803707</v>
      </c>
      <c r="N159" s="29"/>
      <c r="O159" s="30"/>
      <c r="U159" s="50"/>
      <c r="V159" s="50"/>
      <c r="W159" s="50"/>
      <c r="X159" s="50"/>
    </row>
    <row r="160" spans="1:24">
      <c r="A160" s="31">
        <v>6</v>
      </c>
      <c r="B160" t="s">
        <v>248</v>
      </c>
      <c r="C160" s="44">
        <v>0.17899999999999999</v>
      </c>
      <c r="D160" s="16">
        <v>0.40932804232804226</v>
      </c>
      <c r="M160">
        <v>-24.61174359190186</v>
      </c>
      <c r="N160" s="29"/>
      <c r="O160" s="30"/>
    </row>
    <row r="161" spans="1:19">
      <c r="A161" s="31">
        <v>6</v>
      </c>
      <c r="B161" t="s">
        <v>249</v>
      </c>
      <c r="C161" s="46">
        <v>0.41</v>
      </c>
      <c r="D161" s="16">
        <v>0.22040740740740739</v>
      </c>
      <c r="M161">
        <v>1112.4508103539636</v>
      </c>
      <c r="N161" s="29"/>
      <c r="O161" s="30"/>
    </row>
    <row r="162" spans="1:19">
      <c r="A162" s="31">
        <v>6</v>
      </c>
      <c r="B162" t="s">
        <v>153</v>
      </c>
      <c r="C162" s="45">
        <v>0.46200000000000002</v>
      </c>
      <c r="D162" s="16">
        <v>0.22040740740740739</v>
      </c>
      <c r="M162">
        <v>1368.4129437097429</v>
      </c>
      <c r="N162" s="29"/>
      <c r="O162" s="30"/>
    </row>
    <row r="163" spans="1:19">
      <c r="A163" s="31">
        <v>6</v>
      </c>
      <c r="B163" t="s">
        <v>150</v>
      </c>
      <c r="C163" s="45">
        <v>0.437</v>
      </c>
      <c r="D163" s="16">
        <v>0.23185714285714284</v>
      </c>
      <c r="M163">
        <v>1245.3542257502334</v>
      </c>
      <c r="N163" s="29"/>
      <c r="O163" s="30"/>
    </row>
    <row r="164" spans="1:19">
      <c r="A164" s="31">
        <v>6</v>
      </c>
      <c r="B164" t="s">
        <v>250</v>
      </c>
      <c r="C164" s="53">
        <v>0.17899999999999999</v>
      </c>
      <c r="D164" s="16">
        <v>0.30198677248677247</v>
      </c>
      <c r="M164">
        <v>-24.61174359190186</v>
      </c>
      <c r="N164" s="29"/>
      <c r="O164" s="30"/>
    </row>
    <row r="165" spans="1:19">
      <c r="A165" s="31">
        <v>6</v>
      </c>
      <c r="B165" t="s">
        <v>251</v>
      </c>
      <c r="C165" s="44">
        <v>0.215</v>
      </c>
      <c r="D165" s="16">
        <v>0.35923544973544969</v>
      </c>
      <c r="M165">
        <v>152.59281026979153</v>
      </c>
      <c r="N165" s="29"/>
      <c r="O165" s="30"/>
    </row>
    <row r="166" spans="1:19">
      <c r="A166" s="31">
        <v>6</v>
      </c>
      <c r="B166" t="s">
        <v>252</v>
      </c>
      <c r="C166" s="53">
        <v>0.17599999999999999</v>
      </c>
      <c r="D166" s="16">
        <v>0.22899470899470897</v>
      </c>
      <c r="M166">
        <v>-39.378789747042966</v>
      </c>
      <c r="N166" s="29"/>
      <c r="O166" s="30"/>
    </row>
    <row r="167" spans="1:19">
      <c r="A167" s="31">
        <v>7</v>
      </c>
      <c r="B167" t="s">
        <v>186</v>
      </c>
      <c r="C167" s="37">
        <v>0.223</v>
      </c>
      <c r="D167" s="37">
        <v>0.219</v>
      </c>
      <c r="E167">
        <v>1.5600934498572294</v>
      </c>
      <c r="F167">
        <v>1.525482391624124</v>
      </c>
      <c r="M167"/>
      <c r="O167" s="30" t="e">
        <f t="shared" si="53"/>
        <v>#DIV/0!</v>
      </c>
      <c r="S167">
        <f>1</f>
        <v>1</v>
      </c>
    </row>
    <row r="168" spans="1:19" ht="14">
      <c r="A168" s="31">
        <v>7</v>
      </c>
      <c r="B168" s="34" t="s">
        <v>187</v>
      </c>
      <c r="C168" s="37">
        <v>0.35799999999999998</v>
      </c>
      <c r="D168" s="37">
        <v>0.33900000000000002</v>
      </c>
      <c r="E168">
        <v>2.7282166652245388</v>
      </c>
      <c r="F168">
        <v>2.5638141386172881</v>
      </c>
      <c r="G168">
        <v>1.1681232153673093</v>
      </c>
      <c r="H168">
        <v>1.0383317469931641</v>
      </c>
      <c r="I168">
        <v>3412.5714734657008</v>
      </c>
      <c r="J168">
        <v>3033.3968653028455</v>
      </c>
      <c r="K168">
        <v>682.51429469314019</v>
      </c>
      <c r="L168">
        <v>606.67937306056911</v>
      </c>
      <c r="M168">
        <v>644.59683387685459</v>
      </c>
      <c r="N168">
        <v>53.623387337141423</v>
      </c>
      <c r="O168" s="30">
        <f t="shared" si="53"/>
        <v>8.3189033080770247E-2</v>
      </c>
      <c r="S168">
        <f>1</f>
        <v>1</v>
      </c>
    </row>
    <row r="169" spans="1:19" ht="14">
      <c r="A169" s="31">
        <v>7</v>
      </c>
      <c r="B169" s="34" t="s">
        <v>188</v>
      </c>
      <c r="C169" s="37">
        <v>0.41</v>
      </c>
      <c r="D169" s="37">
        <v>0.40400000000000003</v>
      </c>
      <c r="E169">
        <v>3.1781604222549102</v>
      </c>
      <c r="F169">
        <v>3.1262438349052522</v>
      </c>
      <c r="G169">
        <v>1.6180669723976808</v>
      </c>
      <c r="H169">
        <v>1.6007614432811281</v>
      </c>
      <c r="I169">
        <v>4727.0434484302677</v>
      </c>
      <c r="J169">
        <v>4676.4868340085541</v>
      </c>
      <c r="K169">
        <v>945.40868968605366</v>
      </c>
      <c r="L169">
        <v>935.29736680171084</v>
      </c>
      <c r="M169">
        <v>940.35302824388225</v>
      </c>
      <c r="N169">
        <v>7.1497849782855329</v>
      </c>
      <c r="O169" s="30">
        <f t="shared" si="53"/>
        <v>7.6032987224359996E-3</v>
      </c>
      <c r="S169">
        <f>1</f>
        <v>1</v>
      </c>
    </row>
    <row r="170" spans="1:19" ht="14">
      <c r="A170" s="31">
        <v>7</v>
      </c>
      <c r="B170" s="34" t="s">
        <v>189</v>
      </c>
      <c r="C170" s="37">
        <v>0.36599999999999999</v>
      </c>
      <c r="D170" s="37">
        <v>0.36399999999999999</v>
      </c>
      <c r="E170">
        <v>2.79743878169075</v>
      </c>
      <c r="F170">
        <v>2.7801332525741973</v>
      </c>
      <c r="G170">
        <v>1.2373453318335206</v>
      </c>
      <c r="H170">
        <v>1.2546508609500733</v>
      </c>
      <c r="I170">
        <v>3614.7979311525578</v>
      </c>
      <c r="J170">
        <v>3665.3545455742719</v>
      </c>
      <c r="K170">
        <v>722.9595862305116</v>
      </c>
      <c r="L170">
        <v>733.07090911485443</v>
      </c>
      <c r="M170">
        <v>728.01524767268302</v>
      </c>
      <c r="N170">
        <v>7.1497849782855329</v>
      </c>
      <c r="O170" s="30">
        <f t="shared" si="53"/>
        <v>9.820927516479833E-3</v>
      </c>
      <c r="S170">
        <f>1</f>
        <v>1</v>
      </c>
    </row>
    <row r="171" spans="1:19" ht="14">
      <c r="A171" s="31">
        <v>7</v>
      </c>
      <c r="B171" s="34" t="s">
        <v>190</v>
      </c>
      <c r="C171" s="37">
        <v>0.35599999999999998</v>
      </c>
      <c r="D171" s="37">
        <v>0.35599999999999998</v>
      </c>
      <c r="E171">
        <v>2.7109111361079861</v>
      </c>
      <c r="F171">
        <v>2.7109111361079861</v>
      </c>
      <c r="G171">
        <v>1.1508176862507566</v>
      </c>
      <c r="H171">
        <v>1.185428744483862</v>
      </c>
      <c r="I171">
        <v>3362.0148590439867</v>
      </c>
      <c r="J171">
        <v>3463.1280878874145</v>
      </c>
      <c r="K171">
        <v>672.40297180879736</v>
      </c>
      <c r="L171">
        <v>692.6256175774829</v>
      </c>
      <c r="M171">
        <v>682.51429469314007</v>
      </c>
      <c r="N171">
        <v>14.299569956570986</v>
      </c>
      <c r="O171" s="30">
        <f t="shared" si="53"/>
        <v>2.0951312035156867E-2</v>
      </c>
      <c r="S171">
        <f>1</f>
        <v>1</v>
      </c>
    </row>
    <row r="172" spans="1:19" ht="14">
      <c r="A172" s="31">
        <v>7</v>
      </c>
      <c r="B172" s="34" t="s">
        <v>191</v>
      </c>
      <c r="C172" s="37">
        <v>0.36799999999999999</v>
      </c>
      <c r="D172" s="37">
        <v>0.38400000000000001</v>
      </c>
      <c r="E172">
        <v>2.8147443108073027</v>
      </c>
      <c r="F172">
        <v>2.9531885437397247</v>
      </c>
      <c r="G172">
        <v>1.2546508609500733</v>
      </c>
      <c r="H172">
        <v>1.4277061521156007</v>
      </c>
      <c r="I172">
        <v>3665.3545455742719</v>
      </c>
      <c r="J172">
        <v>4170.9206897914128</v>
      </c>
      <c r="K172">
        <v>733.07090911485443</v>
      </c>
      <c r="L172">
        <v>834.18413795828258</v>
      </c>
      <c r="M172">
        <v>783.62752353656856</v>
      </c>
      <c r="N172">
        <v>71.497849782855255</v>
      </c>
      <c r="O172" s="30">
        <f t="shared" si="53"/>
        <v>9.1239584669231891E-2</v>
      </c>
      <c r="S172">
        <f>1</f>
        <v>1</v>
      </c>
    </row>
    <row r="173" spans="1:19" ht="14">
      <c r="A173" s="31">
        <v>7</v>
      </c>
      <c r="B173" s="34" t="s">
        <v>192</v>
      </c>
      <c r="C173" s="37">
        <v>0.32800000000000001</v>
      </c>
      <c r="D173" s="37">
        <v>0.33500000000000002</v>
      </c>
      <c r="E173">
        <v>2.4686337284762478</v>
      </c>
      <c r="F173">
        <v>2.5292030803841827</v>
      </c>
      <c r="G173">
        <v>0.90854027861901843</v>
      </c>
      <c r="H173">
        <v>1.0037206887600587</v>
      </c>
      <c r="I173">
        <v>2654.2222571399893</v>
      </c>
      <c r="J173">
        <v>2932.2836364594177</v>
      </c>
      <c r="K173">
        <v>530.84445142799791</v>
      </c>
      <c r="L173">
        <v>586.45672729188345</v>
      </c>
      <c r="M173">
        <v>558.65058935994068</v>
      </c>
      <c r="N173">
        <v>39.323817380570432</v>
      </c>
      <c r="O173" s="30">
        <f t="shared" si="53"/>
        <v>7.0390720299113391E-2</v>
      </c>
      <c r="S173">
        <f>1</f>
        <v>1</v>
      </c>
    </row>
    <row r="174" spans="1:19" ht="14">
      <c r="A174" s="31">
        <v>7</v>
      </c>
      <c r="B174" s="35" t="s">
        <v>193</v>
      </c>
      <c r="C174" s="37">
        <v>0.40100000000000002</v>
      </c>
      <c r="D174" s="37">
        <v>0.41</v>
      </c>
      <c r="E174">
        <v>3.1002855412304231</v>
      </c>
      <c r="F174">
        <v>3.1781604222549102</v>
      </c>
      <c r="G174">
        <v>1.5401920913731937</v>
      </c>
      <c r="H174">
        <v>1.6526780306307862</v>
      </c>
      <c r="I174">
        <v>4499.5386835325553</v>
      </c>
      <c r="J174">
        <v>4828.156677273696</v>
      </c>
      <c r="K174">
        <v>899.90773670651106</v>
      </c>
      <c r="L174">
        <v>965.63133545473909</v>
      </c>
      <c r="M174">
        <v>932.76953608062513</v>
      </c>
      <c r="N174">
        <v>46.473602358855729</v>
      </c>
      <c r="O174" s="30">
        <f t="shared" si="53"/>
        <v>4.9823242034824265E-2</v>
      </c>
      <c r="S174">
        <f>1</f>
        <v>1</v>
      </c>
    </row>
    <row r="175" spans="1:19" ht="14">
      <c r="A175" s="31">
        <v>7</v>
      </c>
      <c r="B175" s="35" t="s">
        <v>194</v>
      </c>
      <c r="C175" s="37">
        <v>0.41099999999999998</v>
      </c>
      <c r="D175" s="37">
        <v>0.41</v>
      </c>
      <c r="E175">
        <v>3.1868131868131866</v>
      </c>
      <c r="F175">
        <v>3.1781604222549102</v>
      </c>
      <c r="G175">
        <v>1.6267197369559572</v>
      </c>
      <c r="H175">
        <v>1.6526780306307862</v>
      </c>
      <c r="I175">
        <v>4752.3217556411255</v>
      </c>
      <c r="J175">
        <v>4828.156677273696</v>
      </c>
      <c r="K175">
        <v>950.46435112822519</v>
      </c>
      <c r="L175">
        <v>965.63133545473909</v>
      </c>
      <c r="M175">
        <v>958.0478432914822</v>
      </c>
      <c r="N175">
        <v>10.724677467428059</v>
      </c>
      <c r="O175" s="30">
        <f t="shared" si="53"/>
        <v>1.1194302604536127E-2</v>
      </c>
      <c r="S175">
        <f>1</f>
        <v>1</v>
      </c>
    </row>
    <row r="176" spans="1:19" ht="14">
      <c r="A176" s="31">
        <v>7</v>
      </c>
      <c r="B176" s="35" t="s">
        <v>195</v>
      </c>
      <c r="C176" s="37">
        <v>0.42099999999999999</v>
      </c>
      <c r="D176" s="37">
        <v>0.41699999999999998</v>
      </c>
      <c r="E176">
        <v>3.2733408323959505</v>
      </c>
      <c r="F176">
        <v>3.2387297741628447</v>
      </c>
      <c r="G176">
        <v>1.7132473825387211</v>
      </c>
      <c r="H176">
        <v>1.7132473825387207</v>
      </c>
      <c r="I176">
        <v>5005.1048277496966</v>
      </c>
      <c r="J176">
        <v>5005.1048277496948</v>
      </c>
      <c r="K176">
        <v>1001.0209655499393</v>
      </c>
      <c r="L176">
        <v>1001.0209655499389</v>
      </c>
      <c r="M176">
        <v>1001.0209655499391</v>
      </c>
      <c r="N176">
        <v>3.2155493553843715E-13</v>
      </c>
      <c r="O176" s="30">
        <f t="shared" si="53"/>
        <v>3.2122697386441042E-16</v>
      </c>
      <c r="S176">
        <f>1</f>
        <v>1</v>
      </c>
    </row>
    <row r="177" spans="1:19" ht="14">
      <c r="A177" s="31">
        <v>7</v>
      </c>
      <c r="B177" s="35" t="s">
        <v>196</v>
      </c>
      <c r="C177" s="37">
        <v>0.41499999999999998</v>
      </c>
      <c r="D177" s="37">
        <v>0.38300000000000001</v>
      </c>
      <c r="E177">
        <v>3.221424245046292</v>
      </c>
      <c r="F177">
        <v>2.9445357791814484</v>
      </c>
      <c r="G177">
        <v>1.6613307951890626</v>
      </c>
      <c r="H177">
        <v>1.4190533875573244</v>
      </c>
      <c r="I177">
        <v>4853.4349844845528</v>
      </c>
      <c r="J177">
        <v>4145.6423825805559</v>
      </c>
      <c r="K177">
        <v>970.6869968969105</v>
      </c>
      <c r="L177">
        <v>829.12847651611116</v>
      </c>
      <c r="M177">
        <v>899.90773670651083</v>
      </c>
      <c r="N177">
        <v>100.09698969599731</v>
      </c>
      <c r="O177" s="30">
        <f t="shared" si="53"/>
        <v>0.11123028018664784</v>
      </c>
      <c r="S177">
        <f>1</f>
        <v>1</v>
      </c>
    </row>
    <row r="178" spans="1:19" ht="14">
      <c r="A178" s="31">
        <v>7</v>
      </c>
      <c r="B178" s="34" t="s">
        <v>197</v>
      </c>
      <c r="C178" s="37">
        <v>0.308</v>
      </c>
      <c r="D178" s="37">
        <v>0.33700000000000002</v>
      </c>
      <c r="E178">
        <v>2.2955784373107204</v>
      </c>
      <c r="F178">
        <v>2.5465086095007354</v>
      </c>
      <c r="G178">
        <v>0.735484987453491</v>
      </c>
      <c r="H178">
        <v>1.0210262178766114</v>
      </c>
      <c r="I178">
        <v>2148.656112922848</v>
      </c>
      <c r="J178">
        <v>2982.8402508811314</v>
      </c>
      <c r="K178">
        <v>429.73122258456959</v>
      </c>
      <c r="L178">
        <v>596.56805017622628</v>
      </c>
      <c r="M178">
        <v>513.14963638039796</v>
      </c>
      <c r="N178">
        <v>117.97145214171105</v>
      </c>
      <c r="O178" s="30">
        <f t="shared" si="53"/>
        <v>0.22989678600153735</v>
      </c>
      <c r="S178">
        <f>1</f>
        <v>1</v>
      </c>
    </row>
    <row r="179" spans="1:19" ht="14">
      <c r="A179" s="31">
        <v>7</v>
      </c>
      <c r="B179" s="34" t="s">
        <v>198</v>
      </c>
      <c r="C179" s="37">
        <v>0.27500000000000002</v>
      </c>
      <c r="D179" s="37">
        <v>0.28899999999999998</v>
      </c>
      <c r="E179">
        <v>2.0100372068876009</v>
      </c>
      <c r="F179">
        <v>2.1311759107034693</v>
      </c>
      <c r="G179">
        <v>0.44994375703037148</v>
      </c>
      <c r="H179">
        <v>0.60569351907934532</v>
      </c>
      <c r="I179">
        <v>1314.4719749645676</v>
      </c>
      <c r="J179">
        <v>1769.481504759992</v>
      </c>
      <c r="K179">
        <v>262.89439499291353</v>
      </c>
      <c r="L179">
        <v>353.8963009519984</v>
      </c>
      <c r="M179">
        <v>308.39534797245597</v>
      </c>
      <c r="N179">
        <v>64.348064804569603</v>
      </c>
      <c r="O179" s="30">
        <f t="shared" si="53"/>
        <v>0.20865446002225943</v>
      </c>
      <c r="S179">
        <f>1</f>
        <v>1</v>
      </c>
    </row>
    <row r="180" spans="1:19" ht="14">
      <c r="A180" s="31">
        <v>7</v>
      </c>
      <c r="B180" s="35" t="s">
        <v>199</v>
      </c>
      <c r="C180" s="37">
        <v>0.39</v>
      </c>
      <c r="D180" s="37">
        <v>0.38400000000000001</v>
      </c>
      <c r="E180">
        <v>3.0051051310893828</v>
      </c>
      <c r="F180">
        <v>2.9531885437397247</v>
      </c>
      <c r="G180">
        <v>1.4450116812321534</v>
      </c>
      <c r="H180">
        <v>1.4277061521156007</v>
      </c>
      <c r="I180">
        <v>4221.4773042131274</v>
      </c>
      <c r="J180">
        <v>4170.9206897914128</v>
      </c>
      <c r="K180">
        <v>844.29546084262552</v>
      </c>
      <c r="L180">
        <v>834.18413795828258</v>
      </c>
      <c r="M180">
        <v>839.2397994004541</v>
      </c>
      <c r="N180">
        <v>7.1497849782856138</v>
      </c>
      <c r="O180" s="30">
        <f t="shared" si="53"/>
        <v>8.5193588094765772E-3</v>
      </c>
      <c r="S180">
        <f>1</f>
        <v>1</v>
      </c>
    </row>
    <row r="181" spans="1:19" ht="14">
      <c r="A181" s="31">
        <v>7</v>
      </c>
      <c r="B181" s="35" t="s">
        <v>200</v>
      </c>
      <c r="C181" s="37">
        <v>0.40600000000000003</v>
      </c>
      <c r="D181" s="37">
        <v>0.39300000000000002</v>
      </c>
      <c r="E181">
        <v>3.1435493640218048</v>
      </c>
      <c r="F181">
        <v>3.0310634247642123</v>
      </c>
      <c r="G181">
        <v>1.5834559141645754</v>
      </c>
      <c r="H181">
        <v>1.5055810331400883</v>
      </c>
      <c r="I181">
        <v>4625.9302195868404</v>
      </c>
      <c r="J181">
        <v>4398.4254546891279</v>
      </c>
      <c r="K181">
        <v>925.18604391736812</v>
      </c>
      <c r="L181">
        <v>879.68509093782552</v>
      </c>
      <c r="M181">
        <v>902.43556742759688</v>
      </c>
      <c r="N181">
        <v>32.174032402284823</v>
      </c>
      <c r="O181" s="30">
        <f t="shared" si="53"/>
        <v>3.5652442748901482E-2</v>
      </c>
      <c r="S181">
        <f>1</f>
        <v>1</v>
      </c>
    </row>
    <row r="182" spans="1:19" ht="14">
      <c r="A182" s="31">
        <v>7</v>
      </c>
      <c r="B182" s="35" t="s">
        <v>201</v>
      </c>
      <c r="C182" s="37">
        <v>0.38400000000000001</v>
      </c>
      <c r="D182" s="37">
        <v>0.39900000000000002</v>
      </c>
      <c r="E182">
        <v>2.9531885437397247</v>
      </c>
      <c r="F182">
        <v>3.0829800121138704</v>
      </c>
      <c r="G182">
        <v>1.3930950938824953</v>
      </c>
      <c r="H182">
        <v>1.5574976204897464</v>
      </c>
      <c r="I182">
        <v>4069.8074609479845</v>
      </c>
      <c r="J182">
        <v>4550.095297954269</v>
      </c>
      <c r="K182">
        <v>813.96149218959692</v>
      </c>
      <c r="L182">
        <v>910.01905959085389</v>
      </c>
      <c r="M182">
        <v>861.99027589022535</v>
      </c>
      <c r="N182">
        <v>67.922957293712642</v>
      </c>
      <c r="O182" s="30">
        <f t="shared" si="53"/>
        <v>7.8797823123427729E-2</v>
      </c>
      <c r="S182">
        <f>1</f>
        <v>1</v>
      </c>
    </row>
    <row r="183" spans="1:19" ht="14">
      <c r="A183" s="31">
        <v>7</v>
      </c>
      <c r="B183" s="35" t="s">
        <v>202</v>
      </c>
      <c r="C183" s="37">
        <v>0.36799999999999999</v>
      </c>
      <c r="D183" s="37">
        <v>0.38800000000000001</v>
      </c>
      <c r="E183">
        <v>2.8147443108073027</v>
      </c>
      <c r="F183">
        <v>2.9877996019728301</v>
      </c>
      <c r="G183">
        <v>1.2546508609500733</v>
      </c>
      <c r="H183">
        <v>1.4623172103487061</v>
      </c>
      <c r="I183">
        <v>3665.3545455742719</v>
      </c>
      <c r="J183">
        <v>4272.033918634841</v>
      </c>
      <c r="K183">
        <v>733.07090911485443</v>
      </c>
      <c r="L183">
        <v>854.40678372696834</v>
      </c>
      <c r="M183">
        <v>793.73884642091139</v>
      </c>
      <c r="N183">
        <v>85.797419739426402</v>
      </c>
      <c r="O183" s="30">
        <f t="shared" si="53"/>
        <v>0.10809275635972708</v>
      </c>
      <c r="S183">
        <f>1</f>
        <v>1</v>
      </c>
    </row>
    <row r="184" spans="1:19" ht="14">
      <c r="A184" s="31">
        <v>7</v>
      </c>
      <c r="B184" s="35" t="s">
        <v>203</v>
      </c>
      <c r="C184" s="37">
        <v>0.40699999999999997</v>
      </c>
      <c r="D184" s="37">
        <v>0.41699999999999998</v>
      </c>
      <c r="E184">
        <v>3.1522021285800812</v>
      </c>
      <c r="F184">
        <v>3.2387297741628447</v>
      </c>
      <c r="G184">
        <v>1.5921086787228518</v>
      </c>
      <c r="H184">
        <v>1.7132473825387207</v>
      </c>
      <c r="I184">
        <v>4651.2085267976972</v>
      </c>
      <c r="J184">
        <v>5005.1048277496948</v>
      </c>
      <c r="K184">
        <v>930.24170535953954</v>
      </c>
      <c r="L184">
        <v>1001.0209655499389</v>
      </c>
      <c r="M184">
        <v>965.6313354547392</v>
      </c>
      <c r="N184">
        <v>50.048494847998413</v>
      </c>
      <c r="O184" s="30">
        <f t="shared" si="53"/>
        <v>5.1829816422050312E-2</v>
      </c>
      <c r="S184">
        <f>1</f>
        <v>1</v>
      </c>
    </row>
    <row r="185" spans="1:19" ht="14">
      <c r="A185" s="31">
        <v>7</v>
      </c>
      <c r="B185" s="35" t="s">
        <v>204</v>
      </c>
      <c r="C185" s="37">
        <v>0.40600000000000003</v>
      </c>
      <c r="D185" s="37">
        <v>0.4</v>
      </c>
      <c r="E185">
        <v>3.1435493640218048</v>
      </c>
      <c r="F185">
        <v>3.0916327766721468</v>
      </c>
      <c r="G185">
        <v>1.5834559141645754</v>
      </c>
      <c r="H185">
        <v>1.5661503850480227</v>
      </c>
      <c r="I185">
        <v>4625.9302195868404</v>
      </c>
      <c r="J185">
        <v>4575.3736051651258</v>
      </c>
      <c r="K185">
        <v>925.18604391736812</v>
      </c>
      <c r="L185">
        <v>915.07472103302518</v>
      </c>
      <c r="M185">
        <v>920.13038247519671</v>
      </c>
      <c r="N185">
        <v>7.1497849782856138</v>
      </c>
      <c r="O185" s="30">
        <f t="shared" si="53"/>
        <v>7.7704041888632513E-3</v>
      </c>
      <c r="S185">
        <f>1</f>
        <v>1</v>
      </c>
    </row>
    <row r="186" spans="1:19" ht="14">
      <c r="A186" s="31">
        <v>7</v>
      </c>
      <c r="B186" s="35" t="s">
        <v>205</v>
      </c>
      <c r="C186" s="37">
        <v>0.33100000000000002</v>
      </c>
      <c r="D186" s="37">
        <v>0.33600000000000002</v>
      </c>
      <c r="E186">
        <v>2.4945920221510773</v>
      </c>
      <c r="F186">
        <v>2.5378558449424591</v>
      </c>
      <c r="G186">
        <v>0.93449857229384792</v>
      </c>
      <c r="H186">
        <v>1.0123734533183351</v>
      </c>
      <c r="I186">
        <v>2730.0571787725617</v>
      </c>
      <c r="J186">
        <v>2957.5619436702746</v>
      </c>
      <c r="K186">
        <v>546.01143575451226</v>
      </c>
      <c r="L186">
        <v>591.51238873405487</v>
      </c>
      <c r="M186">
        <v>568.76191224428362</v>
      </c>
      <c r="N186">
        <v>32.174032402284823</v>
      </c>
      <c r="O186" s="30">
        <f t="shared" si="53"/>
        <v>5.6568542494923699E-2</v>
      </c>
      <c r="S186">
        <f>1</f>
        <v>1</v>
      </c>
    </row>
    <row r="187" spans="1:19" ht="14">
      <c r="A187" s="31">
        <v>7</v>
      </c>
      <c r="B187" s="35" t="s">
        <v>206</v>
      </c>
      <c r="C187" s="37">
        <v>0.308</v>
      </c>
      <c r="D187" s="37">
        <v>0.32100000000000001</v>
      </c>
      <c r="E187">
        <v>2.2955784373107204</v>
      </c>
      <c r="F187">
        <v>2.4080643765683134</v>
      </c>
      <c r="G187">
        <v>0.735484987453491</v>
      </c>
      <c r="H187">
        <v>0.88258198494418938</v>
      </c>
      <c r="I187">
        <v>2148.656112922848</v>
      </c>
      <c r="J187">
        <v>2578.3873355074184</v>
      </c>
      <c r="K187">
        <v>429.73122258456959</v>
      </c>
      <c r="L187">
        <v>515.67746710148367</v>
      </c>
      <c r="M187">
        <v>472.70434484302666</v>
      </c>
      <c r="N187">
        <v>60.773172315427075</v>
      </c>
      <c r="O187" s="30">
        <f t="shared" si="53"/>
        <v>0.12856486930664521</v>
      </c>
      <c r="S187">
        <f>1</f>
        <v>1</v>
      </c>
    </row>
    <row r="188" spans="1:19">
      <c r="A188" s="31">
        <v>7</v>
      </c>
      <c r="B188" t="s">
        <v>207</v>
      </c>
      <c r="C188" s="37">
        <v>0.26600000000000001</v>
      </c>
      <c r="D188" s="37">
        <v>0.27100000000000002</v>
      </c>
      <c r="E188">
        <v>1.9321623258631133</v>
      </c>
      <c r="F188">
        <v>1.9754261486544953</v>
      </c>
      <c r="G188">
        <v>0.3720688760058839</v>
      </c>
      <c r="H188">
        <v>0.44994375703037126</v>
      </c>
      <c r="I188">
        <v>1086.9672100668533</v>
      </c>
      <c r="J188">
        <v>1314.4719749645669</v>
      </c>
      <c r="K188">
        <v>217.39344201337065</v>
      </c>
      <c r="L188">
        <v>262.89439499291342</v>
      </c>
      <c r="M188">
        <v>240.14391850314203</v>
      </c>
      <c r="N188">
        <v>32.174032402284944</v>
      </c>
      <c r="O188" s="30">
        <f t="shared" si="53"/>
        <v>0.13397812696166186</v>
      </c>
      <c r="S188">
        <f>1</f>
        <v>1</v>
      </c>
    </row>
    <row r="189" spans="1:19" ht="14">
      <c r="A189" s="31">
        <v>7</v>
      </c>
      <c r="B189" s="35" t="s">
        <v>208</v>
      </c>
      <c r="C189" s="37">
        <v>0.247</v>
      </c>
      <c r="D189" s="37">
        <v>0.26400000000000001</v>
      </c>
      <c r="E189">
        <v>1.7677597992558622</v>
      </c>
      <c r="F189">
        <v>1.9148567967465606</v>
      </c>
      <c r="G189">
        <v>0.20766634939863282</v>
      </c>
      <c r="H189">
        <v>0.3893744051224366</v>
      </c>
      <c r="I189">
        <v>606.67937306056911</v>
      </c>
      <c r="J189">
        <v>1137.5238244885672</v>
      </c>
      <c r="K189">
        <v>121.33587461211381</v>
      </c>
      <c r="L189">
        <v>227.50476489771347</v>
      </c>
      <c r="M189">
        <v>174.42031975491363</v>
      </c>
      <c r="N189">
        <v>75.072742271998109</v>
      </c>
      <c r="O189" s="30">
        <f t="shared" si="53"/>
        <v>0.43041282333094233</v>
      </c>
      <c r="S189">
        <f>1</f>
        <v>1</v>
      </c>
    </row>
    <row r="190" spans="1:19" ht="14">
      <c r="A190" s="31">
        <v>7</v>
      </c>
      <c r="B190" s="35" t="s">
        <v>209</v>
      </c>
      <c r="C190" s="37">
        <v>0.41</v>
      </c>
      <c r="D190" s="37">
        <v>0.41499999999999998</v>
      </c>
      <c r="E190">
        <v>3.1781604222549102</v>
      </c>
      <c r="F190">
        <v>3.221424245046292</v>
      </c>
      <c r="G190">
        <v>1.6180669723976808</v>
      </c>
      <c r="H190">
        <v>1.695941853422168</v>
      </c>
      <c r="I190">
        <v>4727.0434484302677</v>
      </c>
      <c r="J190">
        <v>4954.5482133279811</v>
      </c>
      <c r="K190">
        <v>945.40868968605366</v>
      </c>
      <c r="L190">
        <v>990.90964266559627</v>
      </c>
      <c r="M190">
        <v>968.15916617582502</v>
      </c>
      <c r="N190">
        <v>32.174032402284823</v>
      </c>
      <c r="O190" s="30">
        <f t="shared" si="53"/>
        <v>3.3232172483963006E-2</v>
      </c>
      <c r="S190">
        <f>1</f>
        <v>1</v>
      </c>
    </row>
    <row r="191" spans="1:19" ht="14">
      <c r="A191" s="31">
        <v>7</v>
      </c>
      <c r="B191" s="35" t="s">
        <v>210</v>
      </c>
      <c r="C191" s="37">
        <v>0.27700000000000002</v>
      </c>
      <c r="D191" s="37">
        <v>0.27700000000000002</v>
      </c>
      <c r="E191">
        <v>2.0273427360041536</v>
      </c>
      <c r="F191">
        <v>2.0273427360041536</v>
      </c>
      <c r="G191">
        <v>0.46724928614692418</v>
      </c>
      <c r="H191">
        <v>0.50186034438002958</v>
      </c>
      <c r="I191">
        <v>1365.0285893862815</v>
      </c>
      <c r="J191">
        <v>1466.1418182297095</v>
      </c>
      <c r="K191">
        <v>273.0057178772563</v>
      </c>
      <c r="L191">
        <v>293.22836364594195</v>
      </c>
      <c r="M191">
        <v>283.11704076159913</v>
      </c>
      <c r="N191">
        <v>14.299569956571066</v>
      </c>
      <c r="O191" s="30">
        <f t="shared" si="53"/>
        <v>5.0507627227610534E-2</v>
      </c>
      <c r="S191">
        <f>1</f>
        <v>1</v>
      </c>
    </row>
    <row r="192" spans="1:19" ht="14">
      <c r="A192" s="31">
        <v>7</v>
      </c>
      <c r="B192" s="35" t="s">
        <v>211</v>
      </c>
      <c r="C192" s="37">
        <v>0.27</v>
      </c>
      <c r="D192" s="37">
        <v>0.25700000000000001</v>
      </c>
      <c r="E192">
        <v>1.9667733840962189</v>
      </c>
      <c r="F192">
        <v>1.854287444838626</v>
      </c>
      <c r="G192">
        <v>0.40667993423898952</v>
      </c>
      <c r="H192">
        <v>0.32880505321450193</v>
      </c>
      <c r="I192">
        <v>1188.0804389102821</v>
      </c>
      <c r="J192">
        <v>960.57567401256779</v>
      </c>
      <c r="K192">
        <v>237.61608778205641</v>
      </c>
      <c r="L192">
        <v>192.11513480251358</v>
      </c>
      <c r="M192">
        <v>214.865611292285</v>
      </c>
      <c r="N192">
        <v>32.174032402285022</v>
      </c>
      <c r="O192" s="30">
        <f t="shared" si="53"/>
        <v>0.14974025954538714</v>
      </c>
      <c r="S192">
        <f>1</f>
        <v>1</v>
      </c>
    </row>
    <row r="193" spans="1:19" ht="14">
      <c r="A193" s="31">
        <v>7</v>
      </c>
      <c r="B193" s="35" t="s">
        <v>212</v>
      </c>
      <c r="C193" s="37">
        <v>0.35599999999999998</v>
      </c>
      <c r="D193" s="37">
        <v>0.35699999999999998</v>
      </c>
      <c r="E193">
        <v>2.7109111361079861</v>
      </c>
      <c r="F193">
        <v>2.7195639006662624</v>
      </c>
      <c r="G193">
        <v>1.1508176862507566</v>
      </c>
      <c r="H193">
        <v>1.1940815090421384</v>
      </c>
      <c r="I193">
        <v>3362.0148590439867</v>
      </c>
      <c r="J193">
        <v>3488.4063950982718</v>
      </c>
      <c r="K193">
        <v>672.40297180879736</v>
      </c>
      <c r="L193">
        <v>697.68127901965443</v>
      </c>
      <c r="M193">
        <v>685.04212541422589</v>
      </c>
      <c r="N193">
        <v>17.874462445713831</v>
      </c>
      <c r="O193" s="30">
        <f t="shared" si="53"/>
        <v>2.609250115079513E-2</v>
      </c>
      <c r="S193">
        <f>1</f>
        <v>1</v>
      </c>
    </row>
    <row r="194" spans="1:19" ht="14">
      <c r="A194" s="31">
        <v>7</v>
      </c>
      <c r="B194" s="35" t="s">
        <v>213</v>
      </c>
      <c r="C194" s="37">
        <v>0.34</v>
      </c>
      <c r="D194" s="37">
        <v>0.33</v>
      </c>
      <c r="E194">
        <v>2.5724669031755645</v>
      </c>
      <c r="F194">
        <v>2.4859392575928005</v>
      </c>
      <c r="G194">
        <v>1.0123734533183351</v>
      </c>
      <c r="H194">
        <v>0.96045686596867652</v>
      </c>
      <c r="I194">
        <v>2957.5619436702746</v>
      </c>
      <c r="J194">
        <v>2805.8921004051317</v>
      </c>
      <c r="K194">
        <v>591.51238873405487</v>
      </c>
      <c r="L194">
        <v>561.17842008102639</v>
      </c>
      <c r="M194">
        <v>576.34540440754063</v>
      </c>
      <c r="N194">
        <v>21.449354934856601</v>
      </c>
      <c r="O194" s="30">
        <f t="shared" si="53"/>
        <v>3.7216146378239376E-2</v>
      </c>
      <c r="S194">
        <f>1</f>
        <v>1</v>
      </c>
    </row>
    <row r="195" spans="1:19" ht="14">
      <c r="A195" s="31">
        <v>7</v>
      </c>
      <c r="B195" s="35" t="s">
        <v>214</v>
      </c>
      <c r="C195" s="37">
        <v>0.27</v>
      </c>
      <c r="D195" s="37">
        <v>0.27600000000000002</v>
      </c>
      <c r="E195">
        <v>1.9667733840962189</v>
      </c>
      <c r="F195">
        <v>2.0186899714458773</v>
      </c>
      <c r="G195">
        <v>0.40667993423898952</v>
      </c>
      <c r="H195">
        <v>0.49320757982175323</v>
      </c>
      <c r="I195">
        <v>1188.0804389102821</v>
      </c>
      <c r="J195">
        <v>1440.8635110188525</v>
      </c>
      <c r="K195">
        <v>237.61608778205641</v>
      </c>
      <c r="L195">
        <v>288.17270220377048</v>
      </c>
      <c r="M195">
        <v>262.89439499291348</v>
      </c>
      <c r="N195">
        <v>35.748924891427627</v>
      </c>
      <c r="O195" s="30">
        <f t="shared" ref="O195:O229" si="54">N195/M195</f>
        <v>0.13598207330510514</v>
      </c>
      <c r="S195">
        <f>1</f>
        <v>1</v>
      </c>
    </row>
    <row r="196" spans="1:19">
      <c r="A196" s="31">
        <v>7</v>
      </c>
      <c r="B196" t="s">
        <v>215</v>
      </c>
      <c r="C196" s="37">
        <v>0.35599999999999998</v>
      </c>
      <c r="D196" s="37">
        <v>0.36899999999999999</v>
      </c>
      <c r="E196">
        <v>2.7109111361079861</v>
      </c>
      <c r="F196">
        <v>2.823397075365579</v>
      </c>
      <c r="G196">
        <v>1.1508176862507566</v>
      </c>
      <c r="H196">
        <v>1.297914683741455</v>
      </c>
      <c r="I196">
        <v>3362.0148590439867</v>
      </c>
      <c r="J196">
        <v>3791.7460816285566</v>
      </c>
      <c r="K196">
        <v>672.40297180879736</v>
      </c>
      <c r="L196">
        <v>758.34921632571127</v>
      </c>
      <c r="M196">
        <v>715.37609406725437</v>
      </c>
      <c r="N196">
        <v>60.773172315426955</v>
      </c>
      <c r="O196" s="30">
        <f t="shared" si="54"/>
        <v>8.4952758163754791E-2</v>
      </c>
      <c r="S196">
        <f>1</f>
        <v>1</v>
      </c>
    </row>
    <row r="197" spans="1:19">
      <c r="A197" s="31">
        <v>7</v>
      </c>
      <c r="B197" t="s">
        <v>169</v>
      </c>
      <c r="C197" s="39">
        <v>0.45200000000000001</v>
      </c>
      <c r="D197" s="39">
        <v>0.435</v>
      </c>
      <c r="E197">
        <v>3.5415765337025182</v>
      </c>
      <c r="F197">
        <v>3.3944795362118194</v>
      </c>
      <c r="G197">
        <v>1.9814830838452888</v>
      </c>
      <c r="H197">
        <v>1.8689971445876954</v>
      </c>
      <c r="I197">
        <v>5788.7323512862658</v>
      </c>
      <c r="J197">
        <v>5460.1143575451224</v>
      </c>
      <c r="K197">
        <v>1157.7464702572533</v>
      </c>
      <c r="L197">
        <v>1092.0228715090245</v>
      </c>
      <c r="M197">
        <v>1124.8846708831388</v>
      </c>
      <c r="N197">
        <v>46.473602358856283</v>
      </c>
      <c r="O197" s="30">
        <f t="shared" si="54"/>
        <v>4.1314104069326674E-2</v>
      </c>
      <c r="S197">
        <f>1</f>
        <v>1</v>
      </c>
    </row>
    <row r="198" spans="1:19" ht="14">
      <c r="A198" s="31">
        <v>8</v>
      </c>
      <c r="B198" s="35" t="s">
        <v>234</v>
      </c>
      <c r="C198" s="37">
        <v>0.218</v>
      </c>
      <c r="D198" s="37">
        <v>0.22600000000000001</v>
      </c>
      <c r="E198">
        <v>1.5258215962441313</v>
      </c>
      <c r="F198">
        <v>1.5953747174404449</v>
      </c>
      <c r="M198"/>
      <c r="O198" s="30" t="e">
        <f t="shared" si="54"/>
        <v>#DIV/0!</v>
      </c>
      <c r="S198">
        <f t="shared" ref="S198:S209" si="55">(C$45+D$45)/(C$33+D$33)</f>
        <v>1.8566666666666665</v>
      </c>
    </row>
    <row r="199" spans="1:19" ht="14">
      <c r="A199" s="31">
        <v>8</v>
      </c>
      <c r="B199" s="34" t="s">
        <v>216</v>
      </c>
      <c r="C199" s="37">
        <v>0.32500000000000001</v>
      </c>
      <c r="D199" s="37">
        <v>0.34699999999999998</v>
      </c>
      <c r="E199">
        <v>2.4560945922448272</v>
      </c>
      <c r="F199">
        <v>2.6473656755346893</v>
      </c>
      <c r="G199">
        <v>0.93027299600069591</v>
      </c>
      <c r="H199">
        <v>1.0519909580942444</v>
      </c>
      <c r="I199">
        <v>2717.712521182284</v>
      </c>
      <c r="J199">
        <v>3073.3010753556659</v>
      </c>
      <c r="K199">
        <v>543.54250423645681</v>
      </c>
      <c r="L199">
        <v>614.66021507113317</v>
      </c>
      <c r="M199">
        <v>579.10135965379504</v>
      </c>
      <c r="N199">
        <v>50.287815593663659</v>
      </c>
      <c r="O199" s="30">
        <f t="shared" si="54"/>
        <v>8.6837674882558197E-2</v>
      </c>
      <c r="S199">
        <f t="shared" si="55"/>
        <v>1.8566666666666665</v>
      </c>
    </row>
    <row r="200" spans="1:19" ht="14">
      <c r="A200" s="31">
        <v>8</v>
      </c>
      <c r="B200" s="35" t="s">
        <v>217</v>
      </c>
      <c r="C200" s="37">
        <v>0.36899999999999999</v>
      </c>
      <c r="D200" s="37">
        <v>0.38800000000000001</v>
      </c>
      <c r="E200">
        <v>2.8386367588245522</v>
      </c>
      <c r="F200">
        <v>3.0038254216657974</v>
      </c>
      <c r="G200">
        <v>1.312815162580421</v>
      </c>
      <c r="H200">
        <v>1.4084507042253525</v>
      </c>
      <c r="I200">
        <v>3835.2765485843443</v>
      </c>
      <c r="J200">
        <v>4114.6675554348594</v>
      </c>
      <c r="K200">
        <v>767.05530971686881</v>
      </c>
      <c r="L200">
        <v>822.93351108697198</v>
      </c>
      <c r="M200">
        <v>794.99441040192039</v>
      </c>
      <c r="N200">
        <v>39.511855109307383</v>
      </c>
      <c r="O200" s="30">
        <f t="shared" si="54"/>
        <v>4.9700796121738292E-2</v>
      </c>
      <c r="S200">
        <f t="shared" si="55"/>
        <v>1.8566666666666665</v>
      </c>
    </row>
    <row r="201" spans="1:19" ht="14">
      <c r="A201" s="31">
        <v>8</v>
      </c>
      <c r="B201" s="35" t="s">
        <v>218</v>
      </c>
      <c r="C201" s="37">
        <v>0.33</v>
      </c>
      <c r="D201" s="37">
        <v>0.34699999999999998</v>
      </c>
      <c r="E201">
        <v>2.4995652929925232</v>
      </c>
      <c r="F201">
        <v>2.6473656755346893</v>
      </c>
      <c r="G201">
        <v>0.9737436967483919</v>
      </c>
      <c r="H201">
        <v>1.0519909580942444</v>
      </c>
      <c r="I201">
        <v>2844.7084333870639</v>
      </c>
      <c r="J201">
        <v>3073.3010753556659</v>
      </c>
      <c r="K201">
        <v>568.94168667741269</v>
      </c>
      <c r="L201">
        <v>614.66021507113317</v>
      </c>
      <c r="M201">
        <v>591.80095087427298</v>
      </c>
      <c r="N201">
        <v>32.327881453069466</v>
      </c>
      <c r="O201" s="30">
        <f t="shared" si="54"/>
        <v>5.4626274941449809E-2</v>
      </c>
      <c r="S201">
        <f t="shared" si="55"/>
        <v>1.8566666666666665</v>
      </c>
    </row>
    <row r="202" spans="1:19" ht="14">
      <c r="A202" s="31">
        <v>8</v>
      </c>
      <c r="B202" s="35" t="s">
        <v>219</v>
      </c>
      <c r="C202" s="37">
        <v>0.24199999999999999</v>
      </c>
      <c r="D202" s="37">
        <v>0.254</v>
      </c>
      <c r="E202">
        <v>1.7344809598330722</v>
      </c>
      <c r="F202">
        <v>1.8388106416275429</v>
      </c>
      <c r="G202">
        <v>0.20865936358894088</v>
      </c>
      <c r="H202">
        <v>0.24343592418709803</v>
      </c>
      <c r="I202">
        <v>609.58037858294153</v>
      </c>
      <c r="J202">
        <v>711.17710834676598</v>
      </c>
      <c r="K202">
        <v>121.91607571658831</v>
      </c>
      <c r="L202">
        <v>142.23542166935317</v>
      </c>
      <c r="M202">
        <v>132.07574869297073</v>
      </c>
      <c r="N202">
        <v>14.367947312475465</v>
      </c>
      <c r="O202" s="30">
        <f t="shared" si="54"/>
        <v>0.10878565864408496</v>
      </c>
      <c r="S202">
        <f t="shared" si="55"/>
        <v>1.8566666666666665</v>
      </c>
    </row>
    <row r="203" spans="1:19" ht="14">
      <c r="A203" s="31">
        <v>8</v>
      </c>
      <c r="B203" s="35" t="s">
        <v>220</v>
      </c>
      <c r="C203" s="37">
        <v>0.375</v>
      </c>
      <c r="D203" s="37">
        <v>0.38300000000000001</v>
      </c>
      <c r="E203">
        <v>2.8908015997217875</v>
      </c>
      <c r="F203">
        <v>2.9603547209181014</v>
      </c>
      <c r="G203">
        <v>1.3649800034776562</v>
      </c>
      <c r="H203">
        <v>1.3649800034776565</v>
      </c>
      <c r="I203">
        <v>3987.6716432300796</v>
      </c>
      <c r="J203">
        <v>3987.67164323008</v>
      </c>
      <c r="K203">
        <v>797.53432864601587</v>
      </c>
      <c r="L203">
        <v>797.53432864601598</v>
      </c>
      <c r="M203">
        <v>797.53432864601587</v>
      </c>
      <c r="N203">
        <v>1.1368683772161603E-13</v>
      </c>
      <c r="O203" s="30">
        <f t="shared" si="54"/>
        <v>1.4254789247081516E-16</v>
      </c>
      <c r="S203">
        <f t="shared" si="55"/>
        <v>1.8566666666666665</v>
      </c>
    </row>
    <row r="204" spans="1:19" ht="14">
      <c r="A204" s="31">
        <v>8</v>
      </c>
      <c r="B204" s="35" t="s">
        <v>221</v>
      </c>
      <c r="C204" s="37">
        <v>0.316</v>
      </c>
      <c r="D204" s="37">
        <v>0.35299999999999998</v>
      </c>
      <c r="E204">
        <v>2.377847330898974</v>
      </c>
      <c r="F204">
        <v>2.6995305164319245</v>
      </c>
      <c r="G204">
        <v>0.85202573465484277</v>
      </c>
      <c r="H204">
        <v>1.1041557989914796</v>
      </c>
      <c r="I204">
        <v>2489.1198792136802</v>
      </c>
      <c r="J204">
        <v>3225.6961700014012</v>
      </c>
      <c r="K204">
        <v>497.82397584273605</v>
      </c>
      <c r="L204">
        <v>645.13923400028023</v>
      </c>
      <c r="M204">
        <v>571.48160492150816</v>
      </c>
      <c r="N204">
        <v>104.16761801544658</v>
      </c>
      <c r="O204" s="30">
        <f t="shared" si="54"/>
        <v>0.18227641470586581</v>
      </c>
      <c r="S204">
        <f t="shared" si="55"/>
        <v>1.8566666666666665</v>
      </c>
    </row>
    <row r="205" spans="1:19" ht="14">
      <c r="A205" s="31">
        <v>8</v>
      </c>
      <c r="B205" s="35" t="s">
        <v>222</v>
      </c>
      <c r="C205" s="37">
        <v>0.30499999999999999</v>
      </c>
      <c r="D205" s="37">
        <v>0.311</v>
      </c>
      <c r="E205">
        <v>2.2822117892540428</v>
      </c>
      <c r="F205">
        <v>2.3343766301512781</v>
      </c>
      <c r="G205">
        <v>0.7563901930099115</v>
      </c>
      <c r="H205">
        <v>0.73900191271083315</v>
      </c>
      <c r="I205">
        <v>2209.7288723631655</v>
      </c>
      <c r="J205">
        <v>2158.9305074812537</v>
      </c>
      <c r="K205">
        <v>441.94577447263305</v>
      </c>
      <c r="L205">
        <v>431.78610149625075</v>
      </c>
      <c r="M205">
        <v>436.86593798444187</v>
      </c>
      <c r="N205">
        <v>7.1839736562376366</v>
      </c>
      <c r="O205" s="30">
        <f t="shared" si="54"/>
        <v>1.6444343748524243E-2</v>
      </c>
      <c r="S205">
        <f t="shared" si="55"/>
        <v>1.8566666666666665</v>
      </c>
    </row>
    <row r="206" spans="1:19">
      <c r="A206" s="31">
        <v>8</v>
      </c>
      <c r="B206" t="s">
        <v>223</v>
      </c>
      <c r="C206" s="37">
        <v>0.316</v>
      </c>
      <c r="D206" s="37">
        <v>0.32500000000000001</v>
      </c>
      <c r="E206">
        <v>2.377847330898974</v>
      </c>
      <c r="F206">
        <v>2.4560945922448272</v>
      </c>
      <c r="G206">
        <v>0.85202573465484277</v>
      </c>
      <c r="H206">
        <v>0.86071987480438228</v>
      </c>
      <c r="I206">
        <v>2489.1198792136802</v>
      </c>
      <c r="J206">
        <v>2514.519061654637</v>
      </c>
      <c r="K206">
        <v>497.82397584273605</v>
      </c>
      <c r="L206">
        <v>502.90381233092739</v>
      </c>
      <c r="M206">
        <v>500.36389408683169</v>
      </c>
      <c r="N206">
        <v>3.5919868281189591</v>
      </c>
      <c r="O206" s="30">
        <f t="shared" si="54"/>
        <v>7.1787490475793926E-3</v>
      </c>
      <c r="S206">
        <f t="shared" si="55"/>
        <v>1.8566666666666665</v>
      </c>
    </row>
    <row r="207" spans="1:19">
      <c r="A207" s="31">
        <v>8</v>
      </c>
      <c r="B207" t="s">
        <v>224</v>
      </c>
      <c r="C207" s="37">
        <v>0.26600000000000001</v>
      </c>
      <c r="D207" s="37">
        <v>0.27</v>
      </c>
      <c r="E207">
        <v>1.9431403234220137</v>
      </c>
      <c r="F207">
        <v>1.9779168840201704</v>
      </c>
      <c r="G207">
        <v>0.41731872717788243</v>
      </c>
      <c r="H207">
        <v>0.38254216657972551</v>
      </c>
      <c r="I207">
        <v>1219.1607571658849</v>
      </c>
      <c r="J207">
        <v>1117.5640274020611</v>
      </c>
      <c r="K207">
        <v>243.83215143317699</v>
      </c>
      <c r="L207">
        <v>223.51280548041223</v>
      </c>
      <c r="M207">
        <v>233.67247845679461</v>
      </c>
      <c r="N207">
        <v>14.367947312475394</v>
      </c>
      <c r="O207" s="30">
        <f t="shared" si="54"/>
        <v>6.1487546190134613E-2</v>
      </c>
      <c r="S207">
        <f t="shared" si="55"/>
        <v>1.8566666666666665</v>
      </c>
    </row>
    <row r="208" spans="1:19">
      <c r="A208" s="31">
        <v>8</v>
      </c>
      <c r="B208" t="s">
        <v>215</v>
      </c>
      <c r="C208" s="37">
        <v>0.36599999999999999</v>
      </c>
      <c r="D208" s="37">
        <v>0.35099999999999998</v>
      </c>
      <c r="E208">
        <v>2.8125543383759348</v>
      </c>
      <c r="F208">
        <v>2.682142236132846</v>
      </c>
      <c r="G208">
        <v>1.2867327421318036</v>
      </c>
      <c r="H208">
        <v>1.0867675186924011</v>
      </c>
      <c r="I208">
        <v>3759.0790012614771</v>
      </c>
      <c r="J208">
        <v>3174.8978051194886</v>
      </c>
      <c r="K208">
        <v>751.81580025229539</v>
      </c>
      <c r="L208">
        <v>634.97956102389776</v>
      </c>
      <c r="M208">
        <v>693.39768063809652</v>
      </c>
      <c r="N208">
        <v>82.615697046733686</v>
      </c>
      <c r="O208" s="30">
        <f t="shared" si="54"/>
        <v>0.11914619756256888</v>
      </c>
      <c r="S208">
        <f t="shared" si="55"/>
        <v>1.8566666666666665</v>
      </c>
    </row>
    <row r="209" spans="1:19">
      <c r="A209" s="31">
        <v>8</v>
      </c>
      <c r="B209" t="s">
        <v>169</v>
      </c>
      <c r="C209" s="39">
        <v>0.442</v>
      </c>
      <c r="D209" s="39">
        <v>0.45100000000000001</v>
      </c>
      <c r="E209">
        <v>3.4733089897409148</v>
      </c>
      <c r="F209">
        <v>3.5515562510867675</v>
      </c>
      <c r="G209">
        <v>1.9474873934967836</v>
      </c>
      <c r="H209">
        <v>1.9561815336463226</v>
      </c>
      <c r="I209">
        <v>5689.4168667741269</v>
      </c>
      <c r="J209">
        <v>5714.8160492150819</v>
      </c>
      <c r="K209">
        <v>1137.8833733548252</v>
      </c>
      <c r="L209">
        <v>1142.9632098430163</v>
      </c>
      <c r="M209">
        <v>1140.4232915989207</v>
      </c>
      <c r="N209">
        <v>3.5919868281188383</v>
      </c>
      <c r="O209" s="30">
        <f t="shared" si="54"/>
        <v>3.1496961300068889E-3</v>
      </c>
      <c r="S209">
        <f t="shared" si="55"/>
        <v>1.8566666666666665</v>
      </c>
    </row>
    <row r="210" spans="1:19">
      <c r="A210" s="31">
        <v>9</v>
      </c>
      <c r="B210" s="33" t="s">
        <v>186</v>
      </c>
      <c r="C210" s="37">
        <v>0.20399999999999999</v>
      </c>
      <c r="D210" s="37">
        <v>0.20499999999999999</v>
      </c>
      <c r="E210">
        <v>1.3567498942022853</v>
      </c>
      <c r="F210">
        <v>1.3652137113838341</v>
      </c>
      <c r="M210"/>
      <c r="O210" s="30" t="e">
        <f t="shared" si="54"/>
        <v>#DIV/0!</v>
      </c>
      <c r="S210">
        <f t="shared" ref="S210:S221" si="56">(C$57+D$57)/(C$33+D$33)</f>
        <v>1.58</v>
      </c>
    </row>
    <row r="211" spans="1:19" ht="14">
      <c r="A211" s="31">
        <v>9</v>
      </c>
      <c r="B211" s="34" t="s">
        <v>225</v>
      </c>
      <c r="C211" s="37">
        <v>0.41099999999999998</v>
      </c>
      <c r="D211" s="37">
        <v>0.42099999999999999</v>
      </c>
      <c r="E211">
        <v>3.108760050782903</v>
      </c>
      <c r="F211">
        <v>3.1933982225983919</v>
      </c>
      <c r="G211">
        <v>1.7520101565806177</v>
      </c>
      <c r="H211">
        <v>1.8281845112145578</v>
      </c>
      <c r="I211">
        <v>5118.3469371329757</v>
      </c>
      <c r="J211">
        <v>5340.8837604865848</v>
      </c>
      <c r="K211">
        <v>1023.6693874265952</v>
      </c>
      <c r="L211">
        <v>1068.1767520973169</v>
      </c>
      <c r="M211">
        <v>1045.923069761956</v>
      </c>
      <c r="N211">
        <v>31.471459371409885</v>
      </c>
      <c r="O211" s="30">
        <f t="shared" si="54"/>
        <v>3.0089650263257457E-2</v>
      </c>
      <c r="S211">
        <f t="shared" si="56"/>
        <v>1.58</v>
      </c>
    </row>
    <row r="212" spans="1:19" ht="14">
      <c r="A212" s="31">
        <v>9</v>
      </c>
      <c r="B212" s="34" t="s">
        <v>226</v>
      </c>
      <c r="C212" s="37">
        <v>0.32900000000000001</v>
      </c>
      <c r="D212" s="37">
        <v>0.33400000000000002</v>
      </c>
      <c r="E212">
        <v>2.4147270418958953</v>
      </c>
      <c r="F212">
        <v>2.4570461278036393</v>
      </c>
      <c r="G212">
        <v>1.05797714769361</v>
      </c>
      <c r="H212">
        <v>1.0918324164198052</v>
      </c>
      <c r="I212">
        <v>3090.7892132445513</v>
      </c>
      <c r="J212">
        <v>3189.694468068376</v>
      </c>
      <c r="K212">
        <v>618.15784264891022</v>
      </c>
      <c r="L212">
        <v>637.93889361367519</v>
      </c>
      <c r="M212">
        <v>628.0483681312927</v>
      </c>
      <c r="N212">
        <v>13.987315276182011</v>
      </c>
      <c r="O212" s="30">
        <f t="shared" si="54"/>
        <v>2.2271079722410776E-2</v>
      </c>
      <c r="S212">
        <f t="shared" si="56"/>
        <v>1.58</v>
      </c>
    </row>
    <row r="213" spans="1:19" ht="14">
      <c r="A213" s="31">
        <v>9</v>
      </c>
      <c r="B213" s="34" t="s">
        <v>227</v>
      </c>
      <c r="C213" s="37">
        <v>0.34699999999999998</v>
      </c>
      <c r="D213" s="37">
        <v>0.34399999999999997</v>
      </c>
      <c r="E213">
        <v>2.5670757511637743</v>
      </c>
      <c r="F213">
        <v>2.5416842996191282</v>
      </c>
      <c r="G213">
        <v>1.210325856961489</v>
      </c>
      <c r="H213">
        <v>1.1764705882352942</v>
      </c>
      <c r="I213">
        <v>3535.8628599517642</v>
      </c>
      <c r="J213">
        <v>3436.957605127941</v>
      </c>
      <c r="K213">
        <v>707.17257199035294</v>
      </c>
      <c r="L213">
        <v>687.39152102558819</v>
      </c>
      <c r="M213">
        <v>697.28204650797056</v>
      </c>
      <c r="N213">
        <v>13.98731527618185</v>
      </c>
      <c r="O213" s="30">
        <f t="shared" si="54"/>
        <v>2.005976684217118E-2</v>
      </c>
      <c r="S213">
        <f t="shared" si="56"/>
        <v>1.58</v>
      </c>
    </row>
    <row r="214" spans="1:19" ht="14">
      <c r="A214" s="31">
        <v>9</v>
      </c>
      <c r="B214" s="34" t="s">
        <v>228</v>
      </c>
      <c r="C214" s="37">
        <v>0.379</v>
      </c>
      <c r="D214" s="37">
        <v>0.38700000000000001</v>
      </c>
      <c r="E214">
        <v>2.8379179009733391</v>
      </c>
      <c r="F214">
        <v>2.90562843842573</v>
      </c>
      <c r="G214">
        <v>1.4811680067710538</v>
      </c>
      <c r="H214">
        <v>1.540414727041896</v>
      </c>
      <c r="I214">
        <v>4327.1048985423713</v>
      </c>
      <c r="J214">
        <v>4500.1890944840661</v>
      </c>
      <c r="K214">
        <v>865.42097970847431</v>
      </c>
      <c r="L214">
        <v>900.03781889681329</v>
      </c>
      <c r="M214">
        <v>882.72939930264374</v>
      </c>
      <c r="N214">
        <v>24.477801733318721</v>
      </c>
      <c r="O214" s="30">
        <f t="shared" si="54"/>
        <v>2.7729677693590114E-2</v>
      </c>
      <c r="S214">
        <f t="shared" si="56"/>
        <v>1.58</v>
      </c>
    </row>
    <row r="215" spans="1:19" ht="14">
      <c r="A215" s="31">
        <v>9</v>
      </c>
      <c r="B215" s="35" t="s">
        <v>229</v>
      </c>
      <c r="C215" s="37">
        <v>0.47799999999999998</v>
      </c>
      <c r="D215" s="37">
        <v>0.48599999999999999</v>
      </c>
      <c r="E215">
        <v>3.6758358019466781</v>
      </c>
      <c r="F215">
        <v>3.7435463393990691</v>
      </c>
      <c r="G215">
        <v>2.3190859077443928</v>
      </c>
      <c r="H215">
        <v>2.3783326280152348</v>
      </c>
      <c r="I215">
        <v>6775.0099554320559</v>
      </c>
      <c r="J215">
        <v>6948.0941513737507</v>
      </c>
      <c r="K215">
        <v>1355.0019910864112</v>
      </c>
      <c r="L215">
        <v>1389.6188302747503</v>
      </c>
      <c r="M215">
        <v>1372.3104106805808</v>
      </c>
      <c r="N215">
        <v>24.477801733318799</v>
      </c>
      <c r="O215" s="30">
        <f t="shared" si="54"/>
        <v>1.7836927813714775E-2</v>
      </c>
      <c r="S215">
        <f t="shared" si="56"/>
        <v>1.58</v>
      </c>
    </row>
    <row r="216" spans="1:19" ht="14">
      <c r="A216" s="31">
        <v>9</v>
      </c>
      <c r="B216" s="35" t="s">
        <v>230</v>
      </c>
      <c r="C216" s="37">
        <v>0.442</v>
      </c>
      <c r="D216" s="37">
        <v>0.45700000000000002</v>
      </c>
      <c r="E216">
        <v>3.3711383834109183</v>
      </c>
      <c r="F216">
        <v>3.4980956411341517</v>
      </c>
      <c r="G216">
        <v>2.014388489208633</v>
      </c>
      <c r="H216">
        <v>2.1328819297503179</v>
      </c>
      <c r="I216">
        <v>5884.8626620176246</v>
      </c>
      <c r="J216">
        <v>6231.0310539010161</v>
      </c>
      <c r="K216">
        <v>1176.9725324035248</v>
      </c>
      <c r="L216">
        <v>1246.2062107802033</v>
      </c>
      <c r="M216">
        <v>1211.5893715918642</v>
      </c>
      <c r="N216">
        <v>48.955603466637761</v>
      </c>
      <c r="O216" s="30">
        <f t="shared" si="54"/>
        <v>4.0406101782088706E-2</v>
      </c>
      <c r="S216">
        <f t="shared" si="56"/>
        <v>1.58</v>
      </c>
    </row>
    <row r="217" spans="1:19" ht="14">
      <c r="A217" s="31">
        <v>9</v>
      </c>
      <c r="B217" s="35" t="s">
        <v>231</v>
      </c>
      <c r="C217" s="37">
        <v>0.34699999999999998</v>
      </c>
      <c r="D217" s="37">
        <v>0.36699999999999999</v>
      </c>
      <c r="E217">
        <v>2.5670757511637743</v>
      </c>
      <c r="F217">
        <v>2.7363520947947526</v>
      </c>
      <c r="G217">
        <v>1.210325856961489</v>
      </c>
      <c r="H217">
        <v>1.3711383834109185</v>
      </c>
      <c r="I217">
        <v>3535.8628599517642</v>
      </c>
      <c r="J217">
        <v>4005.6628203649384</v>
      </c>
      <c r="K217">
        <v>707.17257199035294</v>
      </c>
      <c r="L217">
        <v>801.13256407298775</v>
      </c>
      <c r="M217">
        <v>754.1525680316704</v>
      </c>
      <c r="N217">
        <v>66.439747561865389</v>
      </c>
      <c r="O217" s="30">
        <f t="shared" si="54"/>
        <v>8.809854978717685E-2</v>
      </c>
      <c r="S217">
        <f t="shared" si="56"/>
        <v>1.58</v>
      </c>
    </row>
    <row r="218" spans="1:19" ht="14">
      <c r="A218" s="31">
        <v>9</v>
      </c>
      <c r="B218" s="35" t="s">
        <v>232</v>
      </c>
      <c r="C218" s="37">
        <v>0.20499999999999999</v>
      </c>
      <c r="D218" s="37">
        <v>0.20399999999999999</v>
      </c>
      <c r="E218">
        <v>1.3652137113838341</v>
      </c>
      <c r="F218">
        <v>1.3567498942022853</v>
      </c>
      <c r="G218">
        <v>8.4638171815487606E-3</v>
      </c>
      <c r="H218">
        <v>-8.4638171815487606E-3</v>
      </c>
      <c r="I218">
        <v>24.726313705956063</v>
      </c>
      <c r="J218">
        <v>-24.726313705956063</v>
      </c>
      <c r="K218">
        <v>4.9452627411912129</v>
      </c>
      <c r="L218">
        <v>-4.9452627411912129</v>
      </c>
      <c r="M218">
        <v>0</v>
      </c>
      <c r="N218">
        <v>6.993657638090963</v>
      </c>
      <c r="O218" s="30" t="e">
        <f t="shared" si="54"/>
        <v>#DIV/0!</v>
      </c>
      <c r="S218">
        <f t="shared" si="56"/>
        <v>1.58</v>
      </c>
    </row>
    <row r="219" spans="1:19" ht="14">
      <c r="A219" s="31">
        <v>9</v>
      </c>
      <c r="B219" s="35" t="s">
        <v>233</v>
      </c>
      <c r="C219" s="37">
        <v>0.33200000000000002</v>
      </c>
      <c r="D219" s="37">
        <v>0.32400000000000001</v>
      </c>
      <c r="E219">
        <v>2.4401184934405418</v>
      </c>
      <c r="F219">
        <v>2.3724079559881508</v>
      </c>
      <c r="G219">
        <v>1.0833685992382565</v>
      </c>
      <c r="H219">
        <v>1.0071942446043167</v>
      </c>
      <c r="I219">
        <v>3164.9681543624201</v>
      </c>
      <c r="J219">
        <v>2942.4313310088128</v>
      </c>
      <c r="K219">
        <v>632.993630872484</v>
      </c>
      <c r="L219">
        <v>588.48626620176253</v>
      </c>
      <c r="M219">
        <v>610.73994853712327</v>
      </c>
      <c r="N219">
        <v>31.471459371409722</v>
      </c>
      <c r="O219" s="30">
        <f t="shared" si="54"/>
        <v>5.153004883140825E-2</v>
      </c>
      <c r="S219">
        <f t="shared" si="56"/>
        <v>1.58</v>
      </c>
    </row>
    <row r="220" spans="1:19">
      <c r="A220" s="31">
        <v>9</v>
      </c>
      <c r="B220" t="s">
        <v>215</v>
      </c>
      <c r="C220" s="37">
        <v>0.35599999999999998</v>
      </c>
      <c r="D220" s="37">
        <v>0.36799999999999999</v>
      </c>
      <c r="E220">
        <v>2.6432501057977142</v>
      </c>
      <c r="F220">
        <v>2.7448159119763011</v>
      </c>
      <c r="G220">
        <v>1.2865002115954289</v>
      </c>
      <c r="H220">
        <v>1.3796022005924671</v>
      </c>
      <c r="I220">
        <v>3758.3996833053725</v>
      </c>
      <c r="J220">
        <v>4030.3891340708938</v>
      </c>
      <c r="K220">
        <v>751.67993666107452</v>
      </c>
      <c r="L220">
        <v>806.07782681417871</v>
      </c>
      <c r="M220">
        <v>778.87888173762667</v>
      </c>
      <c r="N220">
        <v>38.465117009500887</v>
      </c>
      <c r="O220" s="30">
        <f t="shared" si="54"/>
        <v>4.93852355114415E-2</v>
      </c>
      <c r="S220">
        <f t="shared" si="56"/>
        <v>1.58</v>
      </c>
    </row>
    <row r="221" spans="1:19">
      <c r="A221" s="31">
        <v>9</v>
      </c>
      <c r="B221" t="s">
        <v>169</v>
      </c>
      <c r="C221" s="39">
        <v>0.496</v>
      </c>
      <c r="D221" s="39">
        <v>0.49399999999999999</v>
      </c>
      <c r="E221">
        <v>3.8281845112145581</v>
      </c>
      <c r="F221">
        <v>3.8112568768514601</v>
      </c>
      <c r="G221">
        <v>2.4714346170122727</v>
      </c>
      <c r="H221">
        <v>2.4460431654676258</v>
      </c>
      <c r="I221">
        <v>7220.0836021392715</v>
      </c>
      <c r="J221">
        <v>7145.9046610214018</v>
      </c>
      <c r="K221">
        <v>1444.0167204278541</v>
      </c>
      <c r="L221">
        <v>1429.1809322042802</v>
      </c>
      <c r="M221">
        <v>1436.5988263160671</v>
      </c>
      <c r="N221">
        <v>10.490486457136628</v>
      </c>
      <c r="O221" s="30">
        <f t="shared" si="54"/>
        <v>7.3023075509798651E-3</v>
      </c>
      <c r="S221">
        <f t="shared" si="56"/>
        <v>1.58</v>
      </c>
    </row>
    <row r="222" spans="1:19" ht="14">
      <c r="A222" s="31">
        <v>10</v>
      </c>
      <c r="B222" s="36" t="s">
        <v>234</v>
      </c>
      <c r="C222" s="37">
        <v>0.17199999999999999</v>
      </c>
      <c r="D222" s="37">
        <v>0.17499999999999999</v>
      </c>
      <c r="E222">
        <v>1.1568853768978067</v>
      </c>
      <c r="F222">
        <v>1.1835212643167894</v>
      </c>
      <c r="M222"/>
      <c r="O222" s="30" t="e">
        <f t="shared" si="54"/>
        <v>#DIV/0!</v>
      </c>
      <c r="S222">
        <f t="shared" ref="S222:S229" si="57">(C$65+D$65)/(C$33+D$33)</f>
        <v>1.3233333333333335</v>
      </c>
    </row>
    <row r="223" spans="1:19" ht="14">
      <c r="A223" s="31">
        <v>10</v>
      </c>
      <c r="B223" s="40" t="s">
        <v>235</v>
      </c>
      <c r="C223" s="37">
        <v>0.32600000000000001</v>
      </c>
      <c r="D223" s="37">
        <v>0.33</v>
      </c>
      <c r="E223">
        <v>2.5241942644055757</v>
      </c>
      <c r="F223">
        <v>2.5597087809642192</v>
      </c>
      <c r="G223">
        <v>1.367308887507769</v>
      </c>
      <c r="H223">
        <v>1.3761875166474298</v>
      </c>
      <c r="I223">
        <v>3994.4752775570232</v>
      </c>
      <c r="J223">
        <v>4020.4134287099905</v>
      </c>
      <c r="K223">
        <v>798.89505551140462</v>
      </c>
      <c r="L223">
        <v>804.08268574199815</v>
      </c>
      <c r="M223">
        <v>801.48887062670133</v>
      </c>
      <c r="N223">
        <v>3.6682085143410164</v>
      </c>
      <c r="O223" s="30">
        <f t="shared" si="54"/>
        <v>4.5767429203012709E-3</v>
      </c>
      <c r="S223">
        <f t="shared" si="57"/>
        <v>1.3233333333333335</v>
      </c>
    </row>
    <row r="224" spans="1:19" ht="14">
      <c r="A224" s="31">
        <v>10</v>
      </c>
      <c r="B224" s="40" t="s">
        <v>236</v>
      </c>
      <c r="C224" s="37">
        <v>0.26900000000000002</v>
      </c>
      <c r="D224" s="37">
        <v>0.253</v>
      </c>
      <c r="E224">
        <v>2.0181124034449081</v>
      </c>
      <c r="F224">
        <v>1.8760543372103347</v>
      </c>
      <c r="G224">
        <v>0.86122702654710137</v>
      </c>
      <c r="H224">
        <v>0.69253307289354527</v>
      </c>
      <c r="I224">
        <v>2516.0006618378652</v>
      </c>
      <c r="J224">
        <v>2023.1757899314791</v>
      </c>
      <c r="K224">
        <v>503.20013236757313</v>
      </c>
      <c r="L224">
        <v>404.63515798629578</v>
      </c>
      <c r="M224">
        <v>453.91764517693446</v>
      </c>
      <c r="N224">
        <v>69.695961772479663</v>
      </c>
      <c r="O224" s="30">
        <f t="shared" si="54"/>
        <v>0.15354318677193654</v>
      </c>
      <c r="S224">
        <f t="shared" si="57"/>
        <v>1.3233333333333335</v>
      </c>
    </row>
    <row r="225" spans="1:19" ht="14">
      <c r="A225" s="31">
        <v>10</v>
      </c>
      <c r="B225" s="41" t="s">
        <v>237</v>
      </c>
      <c r="C225" s="37">
        <v>0.22700000000000001</v>
      </c>
      <c r="D225" s="37">
        <v>0.23699999999999999</v>
      </c>
      <c r="E225">
        <v>1.645209979579153</v>
      </c>
      <c r="F225">
        <v>1.733996270975761</v>
      </c>
      <c r="G225">
        <v>0.48832460268134636</v>
      </c>
      <c r="H225">
        <v>0.55047500665897164</v>
      </c>
      <c r="I225">
        <v>1426.5983134132234</v>
      </c>
      <c r="J225">
        <v>1608.1653714839954</v>
      </c>
      <c r="K225">
        <v>285.31966268264472</v>
      </c>
      <c r="L225">
        <v>321.63307429679912</v>
      </c>
      <c r="M225">
        <v>303.47636848972195</v>
      </c>
      <c r="N225">
        <v>25.677459600386911</v>
      </c>
      <c r="O225" s="30">
        <f t="shared" si="54"/>
        <v>8.4611067834286902E-2</v>
      </c>
      <c r="S225">
        <f t="shared" si="57"/>
        <v>1.3233333333333335</v>
      </c>
    </row>
    <row r="226" spans="1:19" ht="14">
      <c r="A226" s="31">
        <v>10</v>
      </c>
      <c r="B226" s="41" t="s">
        <v>238</v>
      </c>
      <c r="C226" s="37">
        <v>0.20499999999999999</v>
      </c>
      <c r="D226" s="37">
        <v>0.2</v>
      </c>
      <c r="E226">
        <v>1.4498801385066147</v>
      </c>
      <c r="F226">
        <v>1.4054869928083105</v>
      </c>
      <c r="G226">
        <v>0.292994761608808</v>
      </c>
      <c r="H226">
        <v>0.22196572849152107</v>
      </c>
      <c r="I226">
        <v>855.95898804793455</v>
      </c>
      <c r="J226">
        <v>648.45377882419245</v>
      </c>
      <c r="K226">
        <v>171.19179760958693</v>
      </c>
      <c r="L226">
        <v>129.69075576483849</v>
      </c>
      <c r="M226">
        <v>150.44127668721271</v>
      </c>
      <c r="N226">
        <v>29.345668114728287</v>
      </c>
      <c r="O226" s="30">
        <f t="shared" si="54"/>
        <v>0.19506393963766877</v>
      </c>
      <c r="S226">
        <f t="shared" si="57"/>
        <v>1.3233333333333335</v>
      </c>
    </row>
    <row r="227" spans="1:19" ht="14">
      <c r="A227" s="31">
        <v>10</v>
      </c>
      <c r="B227" s="41" t="s">
        <v>239</v>
      </c>
      <c r="C227" s="37">
        <v>0.24299999999999999</v>
      </c>
      <c r="D227" s="37">
        <v>0.23699999999999999</v>
      </c>
      <c r="E227">
        <v>1.7872680458137262</v>
      </c>
      <c r="F227">
        <v>1.733996270975761</v>
      </c>
      <c r="G227">
        <v>0.63038266891591954</v>
      </c>
      <c r="H227">
        <v>0.55047500665897164</v>
      </c>
      <c r="I227">
        <v>1841.6087318607056</v>
      </c>
      <c r="J227">
        <v>1608.1653714839954</v>
      </c>
      <c r="K227">
        <v>368.32174637214109</v>
      </c>
      <c r="L227">
        <v>321.63307429679912</v>
      </c>
      <c r="M227">
        <v>344.97741033447011</v>
      </c>
      <c r="N227">
        <v>33.013876629069308</v>
      </c>
      <c r="O227" s="30">
        <f t="shared" si="54"/>
        <v>9.5698662115472913E-2</v>
      </c>
      <c r="S227">
        <f t="shared" si="57"/>
        <v>1.3233333333333335</v>
      </c>
    </row>
    <row r="228" spans="1:19">
      <c r="A228" s="31">
        <v>10</v>
      </c>
      <c r="B228" t="s">
        <v>148</v>
      </c>
      <c r="C228" s="37">
        <v>0.32200000000000001</v>
      </c>
      <c r="D228" s="37">
        <v>0.32300000000000001</v>
      </c>
      <c r="E228">
        <v>2.4886797478469327</v>
      </c>
      <c r="F228">
        <v>2.4975583769865932</v>
      </c>
      <c r="G228">
        <v>1.331794370949126</v>
      </c>
      <c r="H228">
        <v>1.3140371126698038</v>
      </c>
      <c r="I228">
        <v>3890.7226729451531</v>
      </c>
      <c r="J228">
        <v>3838.8463706392163</v>
      </c>
      <c r="K228">
        <v>778.14453458903063</v>
      </c>
      <c r="L228">
        <v>767.76927412784323</v>
      </c>
      <c r="M228">
        <v>772.95690435843699</v>
      </c>
      <c r="N228">
        <v>7.3364170286822734</v>
      </c>
      <c r="O228" s="30">
        <f t="shared" si="54"/>
        <v>9.4913661904237508E-3</v>
      </c>
      <c r="S228">
        <f t="shared" si="57"/>
        <v>1.3233333333333335</v>
      </c>
    </row>
    <row r="229" spans="1:19">
      <c r="A229" s="31">
        <v>10</v>
      </c>
      <c r="B229" t="s">
        <v>15</v>
      </c>
      <c r="C229" s="39">
        <v>0.44800000000000001</v>
      </c>
      <c r="D229" s="39">
        <v>0.45600000000000002</v>
      </c>
      <c r="E229">
        <v>3.6073870194441979</v>
      </c>
      <c r="F229">
        <v>3.6784160525614849</v>
      </c>
      <c r="G229">
        <v>2.4505016425463912</v>
      </c>
      <c r="H229">
        <v>2.4948947882446957</v>
      </c>
      <c r="I229">
        <v>7158.9297182190803</v>
      </c>
      <c r="J229">
        <v>7288.6204739839186</v>
      </c>
      <c r="K229">
        <v>1431.7859436438162</v>
      </c>
      <c r="L229">
        <v>1457.7240947967837</v>
      </c>
      <c r="M229">
        <v>1444.7550192202998</v>
      </c>
      <c r="N229">
        <v>18.341042571705</v>
      </c>
      <c r="O229" s="30">
        <f t="shared" si="54"/>
        <v>1.269491528162555E-2</v>
      </c>
      <c r="S229">
        <f t="shared" si="57"/>
        <v>1.3233333333333335</v>
      </c>
    </row>
  </sheetData>
  <phoneticPr fontId="8" type="noConversion"/>
  <conditionalFormatting sqref="B167:B198">
    <cfRule type="duplicateValues" dxfId="1" priority="9"/>
  </conditionalFormatting>
  <conditionalFormatting sqref="B199:B209">
    <cfRule type="duplicateValues" dxfId="0" priority="3"/>
  </conditionalFormatting>
  <conditionalFormatting sqref="C167:D229 C2:D144 D145:D166">
    <cfRule type="colorScale" priority="2">
      <colorScale>
        <cfvo type="min"/>
        <cfvo type="max"/>
        <color rgb="FFFCFCFF"/>
        <color rgb="FFF8696B"/>
      </colorScale>
    </cfRule>
  </conditionalFormatting>
  <conditionalFormatting sqref="M1:M145 M167:M1048576">
    <cfRule type="colorScale" priority="1">
      <colorScale>
        <cfvo type="min"/>
        <cfvo type="max"/>
        <color rgb="FFFCFCFF"/>
        <color rgb="FF63BE7B"/>
      </colorScale>
    </cfRule>
  </conditionalFormatting>
  <conditionalFormatting sqref="C2:D144 D145:D166">
    <cfRule type="colorScale" priority="10">
      <colorScale>
        <cfvo type="min"/>
        <cfvo type="max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:N166">
    <cfRule type="colorScale" priority="16">
      <colorScale>
        <cfvo type="min"/>
        <cfvo type="max"/>
        <color rgb="FFFCFCFF"/>
        <color rgb="FFF8696B"/>
      </colorScale>
    </cfRule>
  </conditionalFormatting>
  <conditionalFormatting sqref="O3:O229">
    <cfRule type="colorScale" priority="17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3CF6-C33F-46AE-9682-EAD4403F7939}">
  <dimension ref="A2:AG36"/>
  <sheetViews>
    <sheetView workbookViewId="0">
      <selection activeCell="D33" sqref="D33"/>
    </sheetView>
  </sheetViews>
  <sheetFormatPr baseColWidth="10" defaultColWidth="8.83203125" defaultRowHeight="13"/>
  <cols>
    <col min="1" max="1" width="20.6640625" customWidth="1"/>
    <col min="2" max="2" width="12.6640625" customWidth="1"/>
    <col min="3" max="6" width="9.1640625" bestFit="1" customWidth="1"/>
    <col min="7" max="7" width="9.33203125" bestFit="1" customWidth="1"/>
    <col min="8" max="9" width="9.1640625" bestFit="1" customWidth="1"/>
    <col min="10" max="10" width="9.33203125" bestFit="1" customWidth="1"/>
    <col min="11" max="19" width="9.1640625" bestFit="1" customWidth="1"/>
    <col min="20" max="20" width="9.33203125" bestFit="1" customWidth="1"/>
    <col min="21" max="27" width="9.1640625" bestFit="1" customWidth="1"/>
    <col min="28" max="28" width="9" bestFit="1" customWidth="1"/>
  </cols>
  <sheetData>
    <row r="2" spans="3:8" ht="14">
      <c r="C2" s="15" t="s">
        <v>39</v>
      </c>
      <c r="D2">
        <v>0</v>
      </c>
      <c r="E2">
        <v>0.01</v>
      </c>
      <c r="F2">
        <v>0.02</v>
      </c>
      <c r="G2">
        <v>0.04</v>
      </c>
      <c r="H2">
        <v>0.05</v>
      </c>
    </row>
    <row r="3" spans="3:8">
      <c r="C3" t="s">
        <v>40</v>
      </c>
      <c r="D3" s="3">
        <v>4.9000000000000002E-2</v>
      </c>
      <c r="E3" s="2">
        <v>0.15</v>
      </c>
      <c r="F3" s="9">
        <v>0.254</v>
      </c>
      <c r="G3" s="8">
        <v>0.46899999999999997</v>
      </c>
      <c r="H3" s="4">
        <v>0.59099999999999997</v>
      </c>
    </row>
    <row r="23" spans="1:33" ht="14">
      <c r="A23" s="12"/>
      <c r="B23" s="12"/>
      <c r="C23" s="21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  <c r="J23" t="s">
        <v>122</v>
      </c>
      <c r="K23" t="s">
        <v>123</v>
      </c>
      <c r="L23" t="s">
        <v>124</v>
      </c>
      <c r="M23" t="s">
        <v>142</v>
      </c>
      <c r="N23" t="s">
        <v>125</v>
      </c>
      <c r="O23" t="s">
        <v>126</v>
      </c>
      <c r="P23" t="s">
        <v>127</v>
      </c>
      <c r="Q23" t="s">
        <v>128</v>
      </c>
      <c r="R23" t="s">
        <v>129</v>
      </c>
      <c r="S23" t="s">
        <v>130</v>
      </c>
      <c r="T23" t="s">
        <v>15</v>
      </c>
      <c r="U23" t="s">
        <v>1</v>
      </c>
      <c r="V23" t="s">
        <v>131</v>
      </c>
      <c r="W23" t="s">
        <v>132</v>
      </c>
      <c r="X23" t="s">
        <v>133</v>
      </c>
      <c r="Y23" t="s">
        <v>134</v>
      </c>
      <c r="Z23" t="s">
        <v>135</v>
      </c>
      <c r="AA23" t="s">
        <v>55</v>
      </c>
      <c r="AB23" t="s">
        <v>56</v>
      </c>
      <c r="AC23" t="s">
        <v>136</v>
      </c>
      <c r="AD23" t="s">
        <v>137</v>
      </c>
      <c r="AE23" t="s">
        <v>138</v>
      </c>
      <c r="AF23" t="s">
        <v>139</v>
      </c>
      <c r="AG23" t="s">
        <v>140</v>
      </c>
    </row>
    <row r="24" spans="1:33" ht="14">
      <c r="A24" s="43" t="s">
        <v>29</v>
      </c>
      <c r="B24" s="12" t="s">
        <v>30</v>
      </c>
      <c r="C24" s="16">
        <v>0.14499999999999999</v>
      </c>
      <c r="D24" s="16">
        <v>0.32900000000000001</v>
      </c>
      <c r="E24" s="16">
        <v>0.29899999999999999</v>
      </c>
      <c r="F24" s="16">
        <v>0.23400000000000001</v>
      </c>
      <c r="G24" s="16">
        <v>0.45700000000000002</v>
      </c>
      <c r="H24" s="16">
        <v>0.252</v>
      </c>
      <c r="I24" s="16">
        <v>0.27200000000000002</v>
      </c>
      <c r="J24" s="16">
        <v>0.34300000000000003</v>
      </c>
      <c r="K24" s="16">
        <v>0.33200000000000002</v>
      </c>
      <c r="L24" s="16">
        <v>0.30399999999999999</v>
      </c>
      <c r="M24" s="23">
        <v>0.28699999999999998</v>
      </c>
      <c r="N24" s="16">
        <v>0.28000000000000003</v>
      </c>
      <c r="O24" s="16">
        <v>0.307</v>
      </c>
      <c r="P24" s="16">
        <v>0.314</v>
      </c>
      <c r="Q24" s="16">
        <v>0.29599999999999999</v>
      </c>
      <c r="R24" s="16">
        <v>0.29399999999999998</v>
      </c>
      <c r="S24" s="16">
        <v>0.27900000000000003</v>
      </c>
      <c r="T24" s="16">
        <v>0.35899999999999999</v>
      </c>
      <c r="U24" s="16">
        <v>0.21</v>
      </c>
      <c r="V24" s="16">
        <v>0.28399999999999997</v>
      </c>
      <c r="W24" s="16">
        <v>0.318</v>
      </c>
      <c r="X24" s="16">
        <v>0.26100000000000001</v>
      </c>
      <c r="Y24" s="16">
        <v>0.316</v>
      </c>
      <c r="Z24" s="16">
        <v>0.36</v>
      </c>
      <c r="AA24" s="16">
        <v>0.37</v>
      </c>
      <c r="AB24" s="16">
        <v>0.16</v>
      </c>
      <c r="AC24" s="16">
        <v>0.28999999999999998</v>
      </c>
      <c r="AD24" s="16">
        <v>0.22600000000000001</v>
      </c>
      <c r="AE24" s="16">
        <v>0.30499999999999999</v>
      </c>
      <c r="AF24" s="16">
        <v>0.25</v>
      </c>
      <c r="AG24" s="16">
        <v>0.29699999999999999</v>
      </c>
    </row>
    <row r="25" spans="1:33" ht="14">
      <c r="A25" s="43"/>
      <c r="B25" s="12" t="s">
        <v>31</v>
      </c>
      <c r="C25" s="16">
        <v>0.154</v>
      </c>
      <c r="D25" s="16">
        <v>0.32200000000000001</v>
      </c>
      <c r="E25" s="16">
        <v>0.30399999999999999</v>
      </c>
      <c r="F25" s="16">
        <v>0.248</v>
      </c>
      <c r="G25" s="16">
        <v>0.45300000000000001</v>
      </c>
      <c r="H25" s="16">
        <v>0.27100000000000002</v>
      </c>
      <c r="I25" s="16">
        <v>0.29699999999999999</v>
      </c>
      <c r="J25" s="16">
        <v>0.32600000000000001</v>
      </c>
      <c r="K25" s="16">
        <v>0.307</v>
      </c>
      <c r="L25" s="16">
        <v>0.247</v>
      </c>
      <c r="M25" s="23">
        <v>0.30399999999999999</v>
      </c>
      <c r="N25" s="16">
        <v>0.29099999999999998</v>
      </c>
      <c r="O25" s="16">
        <v>0.32700000000000001</v>
      </c>
      <c r="P25" s="16">
        <v>0.33400000000000002</v>
      </c>
      <c r="Q25" s="16">
        <v>0.316</v>
      </c>
      <c r="R25" s="16">
        <v>0.30399999999999999</v>
      </c>
      <c r="S25" s="16">
        <v>0.28499999999999998</v>
      </c>
      <c r="T25" s="16">
        <v>0.375</v>
      </c>
      <c r="U25" s="16">
        <v>0.23899999999999999</v>
      </c>
      <c r="V25" s="16">
        <v>0.30599999999999999</v>
      </c>
      <c r="W25" s="16">
        <v>0.32700000000000001</v>
      </c>
      <c r="X25" s="16">
        <v>0.26500000000000001</v>
      </c>
      <c r="Y25" s="16">
        <v>0.33200000000000002</v>
      </c>
      <c r="Z25" s="16">
        <v>0.312</v>
      </c>
      <c r="AA25" s="16">
        <v>0.34100000000000003</v>
      </c>
      <c r="AB25" s="16">
        <v>0.16</v>
      </c>
      <c r="AC25" s="16">
        <v>0.30299999999999999</v>
      </c>
      <c r="AD25" s="16">
        <v>0.23799999999999999</v>
      </c>
      <c r="AE25" s="16">
        <v>0.255</v>
      </c>
      <c r="AF25" s="16">
        <v>0.29299999999999998</v>
      </c>
      <c r="AG25" s="16">
        <v>0.29099999999999998</v>
      </c>
    </row>
    <row r="26" spans="1:33" ht="14">
      <c r="A26" s="42" t="s">
        <v>32</v>
      </c>
      <c r="B26" s="12" t="s">
        <v>30</v>
      </c>
      <c r="C26" s="21">
        <f>(C24-0.0434)/10.801*100</f>
        <v>0.94065364318118694</v>
      </c>
      <c r="D26" s="21">
        <f>(D24-0.0434)/10.801*100</f>
        <v>2.644199611147116</v>
      </c>
      <c r="E26" s="21">
        <f t="shared" ref="D26:AF27" si="0">(E24-0.0434)/10.801*100</f>
        <v>2.366447551152671</v>
      </c>
      <c r="F26" s="21">
        <f t="shared" si="0"/>
        <v>1.7646514211647071</v>
      </c>
      <c r="G26" s="21">
        <f t="shared" si="0"/>
        <v>3.8292750671234144</v>
      </c>
      <c r="H26" s="21">
        <f t="shared" si="0"/>
        <v>1.9313026571613738</v>
      </c>
      <c r="I26" s="21">
        <f t="shared" si="0"/>
        <v>2.1164706971576708</v>
      </c>
      <c r="J26" s="21">
        <f t="shared" si="0"/>
        <v>2.7738172391445239</v>
      </c>
      <c r="K26" s="21">
        <f t="shared" si="0"/>
        <v>2.6719748171465607</v>
      </c>
      <c r="L26" s="21">
        <f t="shared" si="0"/>
        <v>2.4127395611517453</v>
      </c>
      <c r="M26" s="24">
        <f t="shared" si="0"/>
        <v>2.255346727154893</v>
      </c>
      <c r="N26" s="21">
        <f t="shared" si="0"/>
        <v>2.1905379131561897</v>
      </c>
      <c r="O26" s="21">
        <f t="shared" si="0"/>
        <v>2.4405147671511895</v>
      </c>
      <c r="P26" s="21">
        <f t="shared" si="0"/>
        <v>2.5053235811498933</v>
      </c>
      <c r="Q26" s="21">
        <f t="shared" si="0"/>
        <v>2.3386723451532263</v>
      </c>
      <c r="R26" s="21">
        <f t="shared" si="0"/>
        <v>2.3201555411535968</v>
      </c>
      <c r="S26" s="21">
        <f t="shared" si="0"/>
        <v>2.1812795111563745</v>
      </c>
      <c r="T26" s="21">
        <f t="shared" si="0"/>
        <v>2.921951671141561</v>
      </c>
      <c r="U26" s="21">
        <f t="shared" si="0"/>
        <v>1.5424497731691511</v>
      </c>
      <c r="V26" s="21">
        <f t="shared" si="0"/>
        <v>2.2275715211554483</v>
      </c>
      <c r="W26" s="21">
        <f t="shared" si="0"/>
        <v>2.5423571891491528</v>
      </c>
      <c r="X26" s="21">
        <f t="shared" si="0"/>
        <v>2.0146282751597075</v>
      </c>
      <c r="Y26" s="21">
        <f t="shared" si="0"/>
        <v>2.5238403851495232</v>
      </c>
      <c r="Z26" s="21">
        <f t="shared" si="0"/>
        <v>2.9312100731413757</v>
      </c>
      <c r="AA26" s="21">
        <f t="shared" si="0"/>
        <v>3.0237940931395242</v>
      </c>
      <c r="AB26" s="21">
        <f t="shared" si="0"/>
        <v>1.0795296731784094</v>
      </c>
      <c r="AC26" s="21">
        <f t="shared" si="0"/>
        <v>2.2831219331543373</v>
      </c>
      <c r="AD26" s="21">
        <f t="shared" si="0"/>
        <v>1.6905842051661883</v>
      </c>
      <c r="AE26" s="21">
        <f t="shared" si="0"/>
        <v>2.42199796315156</v>
      </c>
      <c r="AF26" s="21">
        <f t="shared" si="0"/>
        <v>1.9127858531617443</v>
      </c>
      <c r="AG26" s="21">
        <f t="shared" ref="AG26" si="1">(AG24-0.0434)/10.801*100</f>
        <v>2.3479307471530415</v>
      </c>
    </row>
    <row r="27" spans="1:33" ht="14">
      <c r="A27" s="42"/>
      <c r="B27" s="12" t="s">
        <v>31</v>
      </c>
      <c r="C27" s="21">
        <f>(C25-0.0434)/10.801*100</f>
        <v>1.0239792611795204</v>
      </c>
      <c r="D27" s="21">
        <f t="shared" si="0"/>
        <v>2.5793907971484122</v>
      </c>
      <c r="E27" s="21">
        <f t="shared" si="0"/>
        <v>2.4127395611517453</v>
      </c>
      <c r="F27" s="21">
        <f t="shared" si="0"/>
        <v>1.8942690491621144</v>
      </c>
      <c r="G27" s="21">
        <f t="shared" si="0"/>
        <v>3.7922414591241549</v>
      </c>
      <c r="H27" s="21">
        <f t="shared" si="0"/>
        <v>2.107212295157856</v>
      </c>
      <c r="I27" s="21">
        <f t="shared" si="0"/>
        <v>2.3479307471530415</v>
      </c>
      <c r="J27" s="21">
        <f t="shared" si="0"/>
        <v>2.6164244051476713</v>
      </c>
      <c r="K27" s="21">
        <f t="shared" si="0"/>
        <v>2.4405147671511895</v>
      </c>
      <c r="L27" s="21">
        <f t="shared" si="0"/>
        <v>1.8850106471623</v>
      </c>
      <c r="M27" s="24">
        <f t="shared" si="0"/>
        <v>2.4127395611517453</v>
      </c>
      <c r="N27" s="21">
        <f t="shared" si="0"/>
        <v>2.2923803351541521</v>
      </c>
      <c r="O27" s="21">
        <f t="shared" si="0"/>
        <v>2.6256828071474865</v>
      </c>
      <c r="P27" s="21">
        <f t="shared" si="0"/>
        <v>2.6904916211461902</v>
      </c>
      <c r="Q27" s="21">
        <f t="shared" si="0"/>
        <v>2.5238403851495232</v>
      </c>
      <c r="R27" s="21">
        <f t="shared" si="0"/>
        <v>2.4127395611517453</v>
      </c>
      <c r="S27" s="21">
        <f t="shared" si="0"/>
        <v>2.2368299231552631</v>
      </c>
      <c r="T27" s="21">
        <f t="shared" si="0"/>
        <v>3.0700861031385984</v>
      </c>
      <c r="U27" s="21">
        <f t="shared" si="0"/>
        <v>1.8109434311637811</v>
      </c>
      <c r="V27" s="21">
        <f t="shared" si="0"/>
        <v>2.4312563651513748</v>
      </c>
      <c r="W27" s="21">
        <f t="shared" si="0"/>
        <v>2.6256828071474865</v>
      </c>
      <c r="X27" s="21">
        <f t="shared" si="0"/>
        <v>2.051661883158967</v>
      </c>
      <c r="Y27" s="21">
        <f t="shared" si="0"/>
        <v>2.6719748171465607</v>
      </c>
      <c r="Z27" s="21">
        <f t="shared" si="0"/>
        <v>2.4868067771502642</v>
      </c>
      <c r="AA27" s="21">
        <f t="shared" si="0"/>
        <v>2.755300435144894</v>
      </c>
      <c r="AB27" s="21">
        <f t="shared" si="0"/>
        <v>1.0795296731784094</v>
      </c>
      <c r="AC27" s="21">
        <f t="shared" si="0"/>
        <v>2.4034811591519301</v>
      </c>
      <c r="AD27" s="21">
        <f t="shared" si="0"/>
        <v>1.8016850291639661</v>
      </c>
      <c r="AE27" s="21">
        <f t="shared" si="0"/>
        <v>1.9590778631608186</v>
      </c>
      <c r="AF27" s="21">
        <f t="shared" si="0"/>
        <v>2.310897139153782</v>
      </c>
      <c r="AG27" s="21">
        <f t="shared" ref="AG27" si="2">(AG25-0.0434)/10.801*100</f>
        <v>2.2923803351541521</v>
      </c>
    </row>
    <row r="28" spans="1:33" ht="14">
      <c r="A28" s="42" t="s">
        <v>33</v>
      </c>
      <c r="B28" s="12" t="s">
        <v>30</v>
      </c>
      <c r="C28" s="21"/>
      <c r="D28">
        <f>D26-0.940654</f>
        <v>1.7035456111471161</v>
      </c>
      <c r="E28">
        <f t="shared" ref="E28:AF28" si="3">E26-0.940654</f>
        <v>1.4257935511526711</v>
      </c>
      <c r="F28">
        <f t="shared" si="3"/>
        <v>0.82399742116470709</v>
      </c>
      <c r="G28">
        <f t="shared" si="3"/>
        <v>2.8886210671234145</v>
      </c>
      <c r="H28">
        <f t="shared" si="3"/>
        <v>0.99064865716137385</v>
      </c>
      <c r="I28">
        <f t="shared" si="3"/>
        <v>1.1758166971576709</v>
      </c>
      <c r="J28">
        <f t="shared" si="3"/>
        <v>1.8331632391445241</v>
      </c>
      <c r="K28">
        <f t="shared" si="3"/>
        <v>1.7313208171465608</v>
      </c>
      <c r="L28">
        <f t="shared" si="3"/>
        <v>1.4720855611517454</v>
      </c>
      <c r="M28">
        <f t="shared" si="3"/>
        <v>1.3146927271548932</v>
      </c>
      <c r="N28">
        <f t="shared" si="3"/>
        <v>1.2498839131561899</v>
      </c>
      <c r="O28">
        <f t="shared" si="3"/>
        <v>1.4998607671511897</v>
      </c>
      <c r="P28">
        <f t="shared" si="3"/>
        <v>1.5646695811498934</v>
      </c>
      <c r="Q28">
        <f t="shared" si="3"/>
        <v>1.3980183451532264</v>
      </c>
      <c r="R28">
        <f t="shared" si="3"/>
        <v>1.3795015411535969</v>
      </c>
      <c r="S28">
        <f t="shared" si="3"/>
        <v>1.2406255111563746</v>
      </c>
      <c r="T28">
        <f t="shared" si="3"/>
        <v>1.9812976711415611</v>
      </c>
      <c r="U28">
        <f t="shared" si="3"/>
        <v>0.60179577316915112</v>
      </c>
      <c r="V28">
        <f t="shared" si="3"/>
        <v>1.2869175211554484</v>
      </c>
      <c r="W28">
        <f t="shared" si="3"/>
        <v>1.6017031891491529</v>
      </c>
      <c r="X28">
        <f t="shared" si="3"/>
        <v>1.0739742751597077</v>
      </c>
      <c r="Y28">
        <f t="shared" si="3"/>
        <v>1.5831863851495234</v>
      </c>
      <c r="Z28">
        <f t="shared" si="3"/>
        <v>1.9905560731413758</v>
      </c>
      <c r="AA28">
        <f t="shared" si="3"/>
        <v>2.0831400931395243</v>
      </c>
      <c r="AB28">
        <f t="shared" si="3"/>
        <v>0.13887567317840943</v>
      </c>
      <c r="AC28">
        <f t="shared" si="3"/>
        <v>1.3424679331543374</v>
      </c>
      <c r="AD28">
        <f t="shared" si="3"/>
        <v>0.74993020516618836</v>
      </c>
      <c r="AE28">
        <f t="shared" si="3"/>
        <v>1.4813439631515601</v>
      </c>
      <c r="AF28">
        <f t="shared" si="3"/>
        <v>0.97213185316174433</v>
      </c>
      <c r="AG28">
        <f t="shared" ref="AG28" si="4">AG26-0.940654</f>
        <v>1.4072767471530416</v>
      </c>
    </row>
    <row r="29" spans="1:33" ht="14">
      <c r="A29" s="42"/>
      <c r="B29" s="12" t="s">
        <v>31</v>
      </c>
      <c r="C29" s="21"/>
      <c r="D29">
        <f>D27-1.023979</f>
        <v>1.5554117971484123</v>
      </c>
      <c r="E29">
        <f t="shared" ref="E29:AF29" si="5">E27-1.023979</f>
        <v>1.3887605611517453</v>
      </c>
      <c r="F29">
        <f t="shared" si="5"/>
        <v>0.87029004916211439</v>
      </c>
      <c r="G29">
        <f t="shared" si="5"/>
        <v>2.7682624591241547</v>
      </c>
      <c r="H29">
        <f t="shared" si="5"/>
        <v>1.083233295157856</v>
      </c>
      <c r="I29">
        <f t="shared" si="5"/>
        <v>1.3239517471530415</v>
      </c>
      <c r="J29">
        <f t="shared" si="5"/>
        <v>1.5924454051476713</v>
      </c>
      <c r="K29">
        <f t="shared" si="5"/>
        <v>1.4165357671511896</v>
      </c>
      <c r="L29">
        <f t="shared" si="5"/>
        <v>0.86103164716230007</v>
      </c>
      <c r="M29">
        <f t="shared" si="5"/>
        <v>1.3887605611517453</v>
      </c>
      <c r="N29">
        <f t="shared" si="5"/>
        <v>1.2684013351541521</v>
      </c>
      <c r="O29">
        <f t="shared" si="5"/>
        <v>1.6017038071474865</v>
      </c>
      <c r="P29">
        <f t="shared" si="5"/>
        <v>1.6665126211461903</v>
      </c>
      <c r="Q29">
        <f t="shared" si="5"/>
        <v>1.4998613851495233</v>
      </c>
      <c r="R29">
        <f t="shared" si="5"/>
        <v>1.3887605611517453</v>
      </c>
      <c r="S29">
        <f t="shared" si="5"/>
        <v>1.2128509231552631</v>
      </c>
      <c r="T29">
        <f t="shared" si="5"/>
        <v>2.0461071031385982</v>
      </c>
      <c r="U29">
        <f t="shared" si="5"/>
        <v>0.78696443116378112</v>
      </c>
      <c r="V29">
        <f t="shared" si="5"/>
        <v>1.4072773651513748</v>
      </c>
      <c r="W29">
        <f t="shared" si="5"/>
        <v>1.6017038071474865</v>
      </c>
      <c r="X29">
        <f t="shared" si="5"/>
        <v>1.0276828831589671</v>
      </c>
      <c r="Y29">
        <f t="shared" si="5"/>
        <v>1.6479958171465607</v>
      </c>
      <c r="Z29">
        <f t="shared" si="5"/>
        <v>1.4628277771502642</v>
      </c>
      <c r="AA29">
        <f t="shared" si="5"/>
        <v>1.731321435144894</v>
      </c>
      <c r="AB29">
        <f t="shared" si="5"/>
        <v>5.5550673178409449E-2</v>
      </c>
      <c r="AC29">
        <f t="shared" si="5"/>
        <v>1.3795021591519301</v>
      </c>
      <c r="AD29">
        <f t="shared" si="5"/>
        <v>0.77770602916396614</v>
      </c>
      <c r="AE29">
        <f t="shared" si="5"/>
        <v>0.93509886316081858</v>
      </c>
      <c r="AF29">
        <f t="shared" si="5"/>
        <v>1.2869181391537821</v>
      </c>
      <c r="AG29">
        <f t="shared" ref="AG29" si="6">AG27-1.023979</f>
        <v>1.2684013351541521</v>
      </c>
    </row>
    <row r="30" spans="1:33" ht="14">
      <c r="A30" s="42" t="s">
        <v>34</v>
      </c>
      <c r="B30" s="12" t="s">
        <v>30</v>
      </c>
      <c r="C30" s="21"/>
      <c r="D30" s="21">
        <f>D28/342.3*1000000</f>
        <v>4976.7619373272446</v>
      </c>
      <c r="E30" s="21">
        <f t="shared" ref="E30:AF31" si="7">E28/342.3*1000000</f>
        <v>4165.3331906300646</v>
      </c>
      <c r="F30" s="21">
        <f t="shared" si="7"/>
        <v>2407.2375727861731</v>
      </c>
      <c r="G30" s="21">
        <f t="shared" si="7"/>
        <v>8438.8579232352167</v>
      </c>
      <c r="H30" s="21">
        <f t="shared" si="7"/>
        <v>2894.0948208044811</v>
      </c>
      <c r="I30" s="21">
        <f t="shared" si="7"/>
        <v>3435.0473186026029</v>
      </c>
      <c r="J30" s="21">
        <f t="shared" si="7"/>
        <v>5355.4286857859306</v>
      </c>
      <c r="K30" s="21">
        <f t="shared" si="7"/>
        <v>5057.9048119969639</v>
      </c>
      <c r="L30" s="21">
        <f t="shared" si="7"/>
        <v>4300.5713150795946</v>
      </c>
      <c r="M30" s="24">
        <f t="shared" si="7"/>
        <v>3840.7616919511925</v>
      </c>
      <c r="N30" s="21">
        <f t="shared" si="7"/>
        <v>3651.4283177218517</v>
      </c>
      <c r="O30" s="21">
        <f t="shared" si="7"/>
        <v>4381.7141897493129</v>
      </c>
      <c r="P30" s="21">
        <f t="shared" si="7"/>
        <v>4571.0475639786546</v>
      </c>
      <c r="Q30" s="21">
        <f t="shared" si="7"/>
        <v>4084.1903159603462</v>
      </c>
      <c r="R30" s="21">
        <f t="shared" si="7"/>
        <v>4030.0950661805341</v>
      </c>
      <c r="S30" s="21">
        <f t="shared" si="7"/>
        <v>3624.3806928319445</v>
      </c>
      <c r="T30" s="21">
        <f t="shared" si="7"/>
        <v>5788.1906840244264</v>
      </c>
      <c r="U30" s="21">
        <f t="shared" si="7"/>
        <v>1758.0945754284287</v>
      </c>
      <c r="V30" s="21">
        <f t="shared" si="7"/>
        <v>3759.6188172814736</v>
      </c>
      <c r="W30" s="21">
        <f t="shared" si="7"/>
        <v>4679.2380635382788</v>
      </c>
      <c r="X30" s="21">
        <f t="shared" si="7"/>
        <v>3137.5234448136362</v>
      </c>
      <c r="Y30" s="21">
        <f t="shared" si="7"/>
        <v>4625.1428137584671</v>
      </c>
      <c r="Z30" s="21">
        <f t="shared" si="7"/>
        <v>5815.2383089143323</v>
      </c>
      <c r="AA30" s="21">
        <f t="shared" si="7"/>
        <v>6085.7145578133923</v>
      </c>
      <c r="AB30" s="21">
        <f t="shared" si="7"/>
        <v>405.71333093312717</v>
      </c>
      <c r="AC30" s="21">
        <f t="shared" si="7"/>
        <v>3921.9045666209095</v>
      </c>
      <c r="AD30" s="21">
        <f t="shared" si="7"/>
        <v>2190.8565736669248</v>
      </c>
      <c r="AE30" s="21">
        <f t="shared" si="7"/>
        <v>4327.6189399695004</v>
      </c>
      <c r="AF30" s="21">
        <f t="shared" si="7"/>
        <v>2839.999571024669</v>
      </c>
      <c r="AG30" s="21">
        <f t="shared" ref="AG30" si="8">AG28/342.3*1000000</f>
        <v>4111.2379408502529</v>
      </c>
    </row>
    <row r="31" spans="1:33" ht="14">
      <c r="A31" s="42"/>
      <c r="B31" s="12" t="s">
        <v>31</v>
      </c>
      <c r="C31" s="21"/>
      <c r="D31" s="21">
        <f>D29/342.3*1000000</f>
        <v>4544.00174451771</v>
      </c>
      <c r="E31" s="21">
        <f t="shared" si="7"/>
        <v>4057.1444964994021</v>
      </c>
      <c r="F31" s="21">
        <f t="shared" si="7"/>
        <v>2542.4775026646639</v>
      </c>
      <c r="G31" s="21">
        <f t="shared" si="7"/>
        <v>8087.2406050953978</v>
      </c>
      <c r="H31" s="21">
        <f t="shared" si="7"/>
        <v>3164.5728751325037</v>
      </c>
      <c r="I31" s="21">
        <f t="shared" si="7"/>
        <v>3867.81112227006</v>
      </c>
      <c r="J31" s="21">
        <f t="shared" si="7"/>
        <v>4652.1922440773333</v>
      </c>
      <c r="K31" s="21">
        <f t="shared" si="7"/>
        <v>4138.2873711691191</v>
      </c>
      <c r="L31" s="21">
        <f t="shared" si="7"/>
        <v>2515.429877774759</v>
      </c>
      <c r="M31" s="24">
        <f t="shared" si="7"/>
        <v>4057.1444964994021</v>
      </c>
      <c r="N31" s="21">
        <f t="shared" si="7"/>
        <v>3705.5253729306223</v>
      </c>
      <c r="O31" s="21">
        <f t="shared" si="7"/>
        <v>4679.23986896724</v>
      </c>
      <c r="P31" s="21">
        <f t="shared" si="7"/>
        <v>4868.5732431965826</v>
      </c>
      <c r="Q31" s="21">
        <f t="shared" si="7"/>
        <v>4381.7159951782742</v>
      </c>
      <c r="R31" s="21">
        <f t="shared" si="7"/>
        <v>4057.1444964994021</v>
      </c>
      <c r="S31" s="21">
        <f t="shared" si="7"/>
        <v>3543.239623591186</v>
      </c>
      <c r="T31" s="21">
        <f t="shared" si="7"/>
        <v>5977.5258636827284</v>
      </c>
      <c r="U31" s="21">
        <f t="shared" si="7"/>
        <v>2299.0488786555102</v>
      </c>
      <c r="V31" s="21">
        <f t="shared" si="7"/>
        <v>4111.2397462792142</v>
      </c>
      <c r="W31" s="21">
        <f t="shared" si="7"/>
        <v>4679.23986896724</v>
      </c>
      <c r="X31" s="21">
        <f t="shared" si="7"/>
        <v>3002.2871257930674</v>
      </c>
      <c r="Y31" s="21">
        <f t="shared" si="7"/>
        <v>4814.4779934167709</v>
      </c>
      <c r="Z31" s="21">
        <f t="shared" si="7"/>
        <v>4273.5254956186509</v>
      </c>
      <c r="AA31" s="21">
        <f t="shared" si="7"/>
        <v>5057.9066174259251</v>
      </c>
      <c r="AB31" s="21">
        <f t="shared" si="7"/>
        <v>162.28651235293441</v>
      </c>
      <c r="AC31" s="21">
        <f t="shared" si="7"/>
        <v>4030.0968716094949</v>
      </c>
      <c r="AD31" s="21">
        <f t="shared" si="7"/>
        <v>2272.0012537656035</v>
      </c>
      <c r="AE31" s="21">
        <f t="shared" si="7"/>
        <v>2731.8108768940069</v>
      </c>
      <c r="AF31" s="21">
        <f t="shared" si="7"/>
        <v>3759.6206227104353</v>
      </c>
      <c r="AG31" s="21">
        <f t="shared" ref="AG31" si="9">AG29/342.3*1000000</f>
        <v>3705.5253729306223</v>
      </c>
    </row>
    <row r="32" spans="1:33" ht="14">
      <c r="A32" s="42" t="s">
        <v>35</v>
      </c>
      <c r="B32" s="12" t="s">
        <v>30</v>
      </c>
      <c r="C32" s="21"/>
      <c r="D32" s="21">
        <f>(D30*0.004)/(2*10)*1000</f>
        <v>995.35238746544894</v>
      </c>
      <c r="E32" s="21">
        <f t="shared" ref="E32:AF33" si="10">(E30*0.004)/(2*10)*1000</f>
        <v>833.066638126013</v>
      </c>
      <c r="F32" s="21">
        <f t="shared" si="10"/>
        <v>481.44751455723463</v>
      </c>
      <c r="G32" s="21">
        <f t="shared" si="10"/>
        <v>1687.7715846470433</v>
      </c>
      <c r="H32" s="21">
        <f t="shared" si="10"/>
        <v>578.81896416089626</v>
      </c>
      <c r="I32" s="21">
        <f t="shared" si="10"/>
        <v>687.00946372052067</v>
      </c>
      <c r="J32" s="21">
        <f t="shared" si="10"/>
        <v>1071.0857371571863</v>
      </c>
      <c r="K32" s="21">
        <f t="shared" si="10"/>
        <v>1011.5809623993928</v>
      </c>
      <c r="L32" s="21">
        <f t="shared" si="10"/>
        <v>860.11426301591894</v>
      </c>
      <c r="M32" s="24">
        <f t="shared" si="10"/>
        <v>768.15233839023847</v>
      </c>
      <c r="N32" s="21">
        <f t="shared" si="10"/>
        <v>730.28566354437032</v>
      </c>
      <c r="O32" s="21">
        <f t="shared" si="10"/>
        <v>876.34283794986254</v>
      </c>
      <c r="P32" s="21">
        <f t="shared" si="10"/>
        <v>914.20951279573103</v>
      </c>
      <c r="Q32" s="21">
        <f t="shared" si="10"/>
        <v>816.83806319206928</v>
      </c>
      <c r="R32" s="21">
        <f t="shared" si="10"/>
        <v>806.01901323610684</v>
      </c>
      <c r="S32" s="21">
        <f t="shared" si="10"/>
        <v>724.87613856638893</v>
      </c>
      <c r="T32" s="21">
        <f t="shared" si="10"/>
        <v>1157.6381368048853</v>
      </c>
      <c r="U32" s="21">
        <f t="shared" si="10"/>
        <v>351.61891508568579</v>
      </c>
      <c r="V32" s="21">
        <f t="shared" si="10"/>
        <v>751.92376345629475</v>
      </c>
      <c r="W32" s="21">
        <f t="shared" si="10"/>
        <v>935.84761270765568</v>
      </c>
      <c r="X32" s="21">
        <f t="shared" si="10"/>
        <v>627.5046889627273</v>
      </c>
      <c r="Y32" s="21">
        <f t="shared" si="10"/>
        <v>925.02856275169347</v>
      </c>
      <c r="Z32" s="21">
        <f t="shared" si="10"/>
        <v>1163.0476617828665</v>
      </c>
      <c r="AA32" s="21">
        <f t="shared" si="10"/>
        <v>1217.1429115626784</v>
      </c>
      <c r="AB32" s="21">
        <f t="shared" si="10"/>
        <v>81.142666186625434</v>
      </c>
      <c r="AC32" s="21">
        <f t="shared" si="10"/>
        <v>784.38091332418196</v>
      </c>
      <c r="AD32" s="21">
        <f t="shared" si="10"/>
        <v>438.17131473338492</v>
      </c>
      <c r="AE32" s="21">
        <f t="shared" si="10"/>
        <v>865.52378799390021</v>
      </c>
      <c r="AF32" s="21">
        <f t="shared" si="10"/>
        <v>567.99991420493382</v>
      </c>
      <c r="AG32" s="21">
        <f t="shared" ref="AG32" si="11">(AG30*0.004)/(2*10)*1000</f>
        <v>822.24758817005056</v>
      </c>
    </row>
    <row r="33" spans="1:33" ht="14">
      <c r="A33" s="42"/>
      <c r="B33" s="12" t="s">
        <v>31</v>
      </c>
      <c r="C33" s="21"/>
      <c r="D33" s="21">
        <f>(D31*0.004)/(2*10)*1000</f>
        <v>908.80034890354216</v>
      </c>
      <c r="E33" s="21">
        <f t="shared" si="10"/>
        <v>811.42889929988053</v>
      </c>
      <c r="F33" s="21">
        <f t="shared" si="10"/>
        <v>508.49550053293279</v>
      </c>
      <c r="G33" s="21">
        <f t="shared" si="10"/>
        <v>1617.4481210190795</v>
      </c>
      <c r="H33" s="21">
        <f t="shared" si="10"/>
        <v>632.91457502650076</v>
      </c>
      <c r="I33" s="21">
        <f t="shared" si="10"/>
        <v>773.56222445401204</v>
      </c>
      <c r="J33" s="21">
        <f t="shared" si="10"/>
        <v>930.43844881546681</v>
      </c>
      <c r="K33" s="21">
        <f t="shared" si="10"/>
        <v>827.6574742338239</v>
      </c>
      <c r="L33" s="21">
        <f t="shared" si="10"/>
        <v>503.0859755549518</v>
      </c>
      <c r="M33" s="24">
        <f t="shared" si="10"/>
        <v>811.42889929988053</v>
      </c>
      <c r="N33" s="21">
        <f t="shared" si="10"/>
        <v>741.10507458612449</v>
      </c>
      <c r="O33" s="21">
        <f t="shared" si="10"/>
        <v>935.84797379344809</v>
      </c>
      <c r="P33" s="21">
        <f t="shared" si="10"/>
        <v>973.71464863931647</v>
      </c>
      <c r="Q33" s="21">
        <f t="shared" si="10"/>
        <v>876.34319903565495</v>
      </c>
      <c r="R33" s="21">
        <f t="shared" si="10"/>
        <v>811.42889929988053</v>
      </c>
      <c r="S33" s="21">
        <f t="shared" si="10"/>
        <v>708.64792471823728</v>
      </c>
      <c r="T33" s="21">
        <f t="shared" si="10"/>
        <v>1195.5051727365458</v>
      </c>
      <c r="U33" s="21">
        <f t="shared" si="10"/>
        <v>459.80977573110204</v>
      </c>
      <c r="V33" s="21">
        <f t="shared" si="10"/>
        <v>822.24794925584274</v>
      </c>
      <c r="W33" s="21">
        <f t="shared" si="10"/>
        <v>935.84797379344809</v>
      </c>
      <c r="X33" s="21">
        <f t="shared" si="10"/>
        <v>600.45742515861343</v>
      </c>
      <c r="Y33" s="21">
        <f t="shared" si="10"/>
        <v>962.89559868335425</v>
      </c>
      <c r="Z33" s="21">
        <f t="shared" si="10"/>
        <v>854.70509912373029</v>
      </c>
      <c r="AA33" s="21">
        <f t="shared" si="10"/>
        <v>1011.5813234851852</v>
      </c>
      <c r="AB33" s="21">
        <f t="shared" si="10"/>
        <v>32.457302470586882</v>
      </c>
      <c r="AC33" s="21">
        <f t="shared" si="10"/>
        <v>806.01937432189902</v>
      </c>
      <c r="AD33" s="21">
        <f t="shared" si="10"/>
        <v>454.40025075312076</v>
      </c>
      <c r="AE33" s="21">
        <f t="shared" si="10"/>
        <v>546.36217537880134</v>
      </c>
      <c r="AF33" s="21">
        <f t="shared" si="10"/>
        <v>751.92412454208716</v>
      </c>
      <c r="AG33" s="21">
        <f t="shared" ref="AG33" si="12">(AG31*0.004)/(2*10)*1000</f>
        <v>741.10507458612449</v>
      </c>
    </row>
    <row r="34" spans="1:33" ht="14">
      <c r="A34" s="13"/>
      <c r="B34" s="14" t="s">
        <v>36</v>
      </c>
      <c r="C34" s="14"/>
      <c r="D34" s="14">
        <f>AVERAGE(D32:D33)</f>
        <v>952.07636818449555</v>
      </c>
      <c r="E34" s="14">
        <f t="shared" ref="E34:AF34" si="13">AVERAGE(E32:E33)</f>
        <v>822.24776871294671</v>
      </c>
      <c r="F34" s="14">
        <f t="shared" si="13"/>
        <v>494.97150754508368</v>
      </c>
      <c r="G34" s="14">
        <f t="shared" si="13"/>
        <v>1652.6098528330613</v>
      </c>
      <c r="H34" s="14">
        <f t="shared" si="13"/>
        <v>605.86676959369856</v>
      </c>
      <c r="I34" s="14">
        <f t="shared" si="13"/>
        <v>730.28584408726636</v>
      </c>
      <c r="J34" s="14">
        <f t="shared" si="13"/>
        <v>1000.7620929863265</v>
      </c>
      <c r="K34" s="14">
        <f t="shared" si="13"/>
        <v>919.61921831660834</v>
      </c>
      <c r="L34" s="14">
        <f t="shared" si="13"/>
        <v>681.60011928543531</v>
      </c>
      <c r="M34" s="25">
        <f t="shared" si="13"/>
        <v>789.7906188450595</v>
      </c>
      <c r="N34" s="14">
        <f t="shared" si="13"/>
        <v>735.69536906524741</v>
      </c>
      <c r="O34" s="14">
        <f t="shared" si="13"/>
        <v>906.09540587165532</v>
      </c>
      <c r="P34" s="14">
        <f t="shared" si="13"/>
        <v>943.9620807175238</v>
      </c>
      <c r="Q34" s="14">
        <f t="shared" si="13"/>
        <v>846.59063111386217</v>
      </c>
      <c r="R34" s="14">
        <f t="shared" si="13"/>
        <v>808.72395626799369</v>
      </c>
      <c r="S34" s="14">
        <f t="shared" si="13"/>
        <v>716.7620316423131</v>
      </c>
      <c r="T34" s="14">
        <f t="shared" si="13"/>
        <v>1176.5716547707157</v>
      </c>
      <c r="U34" s="14">
        <f t="shared" si="13"/>
        <v>405.71434540839391</v>
      </c>
      <c r="V34" s="14">
        <f t="shared" si="13"/>
        <v>787.08585635606869</v>
      </c>
      <c r="W34" s="14">
        <f t="shared" si="13"/>
        <v>935.84779325055183</v>
      </c>
      <c r="X34" s="14">
        <f t="shared" si="13"/>
        <v>613.98105706067031</v>
      </c>
      <c r="Y34" s="14">
        <f t="shared" si="13"/>
        <v>943.9620807175238</v>
      </c>
      <c r="Z34" s="14">
        <f t="shared" si="13"/>
        <v>1008.8763804532985</v>
      </c>
      <c r="AA34" s="14">
        <f t="shared" si="13"/>
        <v>1114.3621175239318</v>
      </c>
      <c r="AB34" s="14">
        <f t="shared" si="13"/>
        <v>56.799984328606158</v>
      </c>
      <c r="AC34" s="14">
        <f t="shared" si="13"/>
        <v>795.20014382304043</v>
      </c>
      <c r="AD34" s="14">
        <f t="shared" si="13"/>
        <v>446.28578274325287</v>
      </c>
      <c r="AE34" s="14">
        <f t="shared" si="13"/>
        <v>705.94298168635078</v>
      </c>
      <c r="AF34" s="14">
        <f t="shared" si="13"/>
        <v>659.96201937351043</v>
      </c>
      <c r="AG34" s="14">
        <f t="shared" ref="AG34" si="14">AVERAGE(AG32:AG33)</f>
        <v>781.67633137808753</v>
      </c>
    </row>
    <row r="35" spans="1:33" ht="14">
      <c r="A35" s="13"/>
      <c r="B35" s="14" t="s">
        <v>37</v>
      </c>
      <c r="C35" s="14"/>
      <c r="D35" s="14">
        <f>STDEV(D32:D33)</f>
        <v>61.201533392643846</v>
      </c>
      <c r="E35" s="14">
        <f t="shared" ref="E35:AF35" si="15">STDEV(E32:E33)</f>
        <v>15.300191853501721</v>
      </c>
      <c r="F35" s="14">
        <f t="shared" si="15"/>
        <v>19.12581430085481</v>
      </c>
      <c r="G35" s="14">
        <f t="shared" si="15"/>
        <v>49.726198007858692</v>
      </c>
      <c r="H35" s="14">
        <f t="shared" si="15"/>
        <v>38.25137327549762</v>
      </c>
      <c r="I35" s="14">
        <f t="shared" si="15"/>
        <v>61.202044045068483</v>
      </c>
      <c r="J35" s="14">
        <f t="shared" si="15"/>
        <v>99.452651341929467</v>
      </c>
      <c r="K35" s="14">
        <f t="shared" si="15"/>
        <v>130.05354570135748</v>
      </c>
      <c r="L35" s="14">
        <f t="shared" si="15"/>
        <v>252.45712313907018</v>
      </c>
      <c r="M35" s="25">
        <f t="shared" si="15"/>
        <v>30.601149685640564</v>
      </c>
      <c r="N35" s="14">
        <f t="shared" si="15"/>
        <v>7.6504789160689786</v>
      </c>
      <c r="O35" s="14">
        <f t="shared" si="15"/>
        <v>42.076485070426031</v>
      </c>
      <c r="P35" s="14">
        <f t="shared" si="15"/>
        <v>42.076485070425953</v>
      </c>
      <c r="Q35" s="14">
        <f t="shared" si="15"/>
        <v>42.076485070426116</v>
      </c>
      <c r="R35" s="14">
        <f t="shared" si="15"/>
        <v>3.825367121140971</v>
      </c>
      <c r="S35" s="14">
        <f t="shared" si="15"/>
        <v>11.475080058573472</v>
      </c>
      <c r="T35" s="14">
        <f t="shared" si="15"/>
        <v>26.776037890711752</v>
      </c>
      <c r="U35" s="14">
        <f t="shared" si="15"/>
        <v>76.502491224782489</v>
      </c>
      <c r="V35" s="14">
        <f t="shared" si="15"/>
        <v>49.726708660283094</v>
      </c>
      <c r="W35" s="14">
        <f t="shared" si="15"/>
        <v>2.5532621240033121E-4</v>
      </c>
      <c r="X35" s="14">
        <f t="shared" si="15"/>
        <v>19.125303648430371</v>
      </c>
      <c r="Y35" s="14">
        <f t="shared" si="15"/>
        <v>26.77603789071199</v>
      </c>
      <c r="Z35" s="14">
        <f t="shared" si="15"/>
        <v>218.03111698471307</v>
      </c>
      <c r="AA35" s="14">
        <f t="shared" si="15"/>
        <v>145.35399288107118</v>
      </c>
      <c r="AB35" s="14">
        <f t="shared" si="15"/>
        <v>34.425750828144352</v>
      </c>
      <c r="AC35" s="14">
        <f t="shared" si="15"/>
        <v>15.30070250592636</v>
      </c>
      <c r="AD35" s="14">
        <f t="shared" si="15"/>
        <v>11.475590710997832</v>
      </c>
      <c r="AE35" s="14">
        <f t="shared" si="15"/>
        <v>225.68134057457021</v>
      </c>
      <c r="AF35" s="14">
        <f t="shared" si="15"/>
        <v>130.05405635378301</v>
      </c>
      <c r="AG35" s="14">
        <f t="shared" ref="AG35" si="16">STDEV(AG32:AG33)</f>
        <v>57.376421597715677</v>
      </c>
    </row>
    <row r="36" spans="1:33">
      <c r="D36" s="27">
        <f>D35/D34</f>
        <v>6.4282168361502773E-2</v>
      </c>
      <c r="E36" s="27">
        <f t="shared" ref="E36:AG36" si="17">E35/E34</f>
        <v>1.8607763299194967E-2</v>
      </c>
      <c r="F36" s="27">
        <f t="shared" si="17"/>
        <v>3.8640232840296905E-2</v>
      </c>
      <c r="G36" s="27">
        <f t="shared" si="17"/>
        <v>3.0089496273190738E-2</v>
      </c>
      <c r="H36" s="27">
        <f t="shared" si="17"/>
        <v>6.3134958369064284E-2</v>
      </c>
      <c r="I36" s="27">
        <f t="shared" si="17"/>
        <v>8.3805600971987443E-2</v>
      </c>
      <c r="J36" s="27">
        <f t="shared" si="17"/>
        <v>9.9376916890564423E-2</v>
      </c>
      <c r="K36" s="27">
        <f t="shared" si="17"/>
        <v>0.141421082890617</v>
      </c>
      <c r="L36" s="27">
        <f t="shared" si="17"/>
        <v>0.37038890692058124</v>
      </c>
      <c r="M36" s="27">
        <f t="shared" si="17"/>
        <v>3.8745901705428937E-2</v>
      </c>
      <c r="N36" s="27">
        <f t="shared" si="17"/>
        <v>1.0398976584274886E-2</v>
      </c>
      <c r="O36" s="27">
        <f t="shared" si="17"/>
        <v>4.6437146461358388E-2</v>
      </c>
      <c r="P36" s="27">
        <f t="shared" si="17"/>
        <v>4.4574338238716968E-2</v>
      </c>
      <c r="Q36" s="27">
        <f t="shared" si="17"/>
        <v>4.9701099355500711E-2</v>
      </c>
      <c r="R36" s="27">
        <f t="shared" si="17"/>
        <v>4.7301271237145436E-3</v>
      </c>
      <c r="S36" s="27">
        <f t="shared" si="17"/>
        <v>1.6009609259408846E-2</v>
      </c>
      <c r="T36" s="27">
        <f t="shared" si="17"/>
        <v>2.2757677173456749E-2</v>
      </c>
      <c r="U36" s="27">
        <f t="shared" si="17"/>
        <v>0.18856245062711482</v>
      </c>
      <c r="V36" s="27">
        <f t="shared" si="17"/>
        <v>6.3178252103906818E-2</v>
      </c>
      <c r="W36" s="27">
        <f t="shared" si="17"/>
        <v>2.7282878075021916E-7</v>
      </c>
      <c r="X36" s="27">
        <f t="shared" si="17"/>
        <v>3.1149664030335894E-2</v>
      </c>
      <c r="Y36" s="27">
        <f t="shared" si="17"/>
        <v>2.8365586327746349E-2</v>
      </c>
      <c r="Z36" s="27">
        <f t="shared" si="17"/>
        <v>0.21611281739666605</v>
      </c>
      <c r="AA36" s="27">
        <f t="shared" si="17"/>
        <v>0.13043694737581529</v>
      </c>
      <c r="AB36" s="27">
        <f t="shared" si="17"/>
        <v>0.60608732968974643</v>
      </c>
      <c r="AC36" s="27">
        <f t="shared" si="17"/>
        <v>1.9241322608879327E-2</v>
      </c>
      <c r="AD36" s="27">
        <f t="shared" si="17"/>
        <v>2.571354758482125E-2</v>
      </c>
      <c r="AE36" s="27">
        <f t="shared" si="17"/>
        <v>0.31968777426678918</v>
      </c>
      <c r="AF36" s="27">
        <f t="shared" si="17"/>
        <v>0.19706294079959463</v>
      </c>
      <c r="AG36" s="27">
        <f t="shared" si="17"/>
        <v>7.3401763996821578E-2</v>
      </c>
    </row>
  </sheetData>
  <mergeCells count="5">
    <mergeCell ref="A32:A33"/>
    <mergeCell ref="A24:A25"/>
    <mergeCell ref="A26:A27"/>
    <mergeCell ref="A28:A29"/>
    <mergeCell ref="A30:A31"/>
  </mergeCells>
  <phoneticPr fontId="8" type="noConversion"/>
  <conditionalFormatting sqref="D36:AG36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75C4-EEBF-42B3-A0EC-890BDE5FC16C}">
  <dimension ref="A1:AG56"/>
  <sheetViews>
    <sheetView topLeftCell="A25" zoomScale="110" workbookViewId="0">
      <selection activeCell="D33" sqref="D33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1" spans="1:20">
      <c r="A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0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0">
      <c r="B3" s="1"/>
      <c r="C3" s="1"/>
      <c r="D3" s="1"/>
      <c r="E3" s="1"/>
      <c r="F3">
        <v>0</v>
      </c>
      <c r="G3">
        <v>0.01</v>
      </c>
      <c r="H3">
        <v>0.02</v>
      </c>
      <c r="I3">
        <v>0.04</v>
      </c>
      <c r="J3">
        <v>0.05</v>
      </c>
      <c r="K3" s="1"/>
      <c r="L3" s="1"/>
      <c r="M3" s="1"/>
      <c r="N3" s="1"/>
      <c r="O3" s="1"/>
      <c r="P3">
        <v>0</v>
      </c>
      <c r="Q3">
        <v>0.01</v>
      </c>
      <c r="R3">
        <v>0.02</v>
      </c>
      <c r="S3">
        <v>0.04</v>
      </c>
      <c r="T3">
        <v>0.05</v>
      </c>
    </row>
    <row r="4" spans="1:20">
      <c r="B4" s="1"/>
      <c r="C4" s="1"/>
      <c r="D4" s="1"/>
      <c r="E4" s="1"/>
      <c r="F4" s="3">
        <v>4.9000000000000002E-2</v>
      </c>
      <c r="G4" s="2">
        <v>0.15</v>
      </c>
      <c r="H4" s="9">
        <v>0.254</v>
      </c>
      <c r="I4" s="8">
        <v>0.46899999999999997</v>
      </c>
      <c r="J4" s="4">
        <v>0.59099999999999997</v>
      </c>
      <c r="K4" s="1"/>
      <c r="L4" s="1"/>
      <c r="M4" s="1"/>
      <c r="N4" s="1"/>
      <c r="O4" s="1"/>
      <c r="P4" s="3">
        <v>4.5999999999999999E-2</v>
      </c>
      <c r="Q4" s="2">
        <v>0.15</v>
      </c>
      <c r="R4" s="9">
        <v>0.26500000000000001</v>
      </c>
      <c r="S4" s="20">
        <v>0.48899999999999999</v>
      </c>
      <c r="T4" s="4">
        <v>0.59699999999999998</v>
      </c>
    </row>
    <row r="5" spans="1:20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20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20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20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0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20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20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20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20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0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0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20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9" spans="2:15" ht="14">
      <c r="C29" s="2">
        <v>0.14699999999999999</v>
      </c>
      <c r="D29" s="6">
        <v>0.17399999999999999</v>
      </c>
      <c r="E29" s="11">
        <v>0.30099999999999999</v>
      </c>
      <c r="F29" s="7">
        <v>0.32100000000000001</v>
      </c>
      <c r="G29" s="11">
        <v>0.29199999999999998</v>
      </c>
      <c r="H29" s="11">
        <v>0.28499999999999998</v>
      </c>
      <c r="I29" s="7">
        <v>0.32900000000000001</v>
      </c>
      <c r="J29" s="11">
        <v>0.30199999999999999</v>
      </c>
      <c r="K29" s="9">
        <v>0.27</v>
      </c>
      <c r="L29" s="7">
        <v>0.32200000000000001</v>
      </c>
      <c r="M29" s="11">
        <v>0.31</v>
      </c>
      <c r="N29" s="22"/>
    </row>
    <row r="30" spans="2:15">
      <c r="D30" s="9">
        <v>0.19800000000000001</v>
      </c>
      <c r="E30" s="11">
        <v>0.30499999999999999</v>
      </c>
      <c r="F30" s="7">
        <v>0.33600000000000002</v>
      </c>
      <c r="G30" s="11">
        <v>0.29299999999999998</v>
      </c>
      <c r="H30" s="11">
        <v>0.30399999999999999</v>
      </c>
      <c r="I30" s="11">
        <v>0.318</v>
      </c>
      <c r="J30" s="7">
        <v>0.35599999999999998</v>
      </c>
      <c r="K30" s="11">
        <v>0.29699999999999999</v>
      </c>
      <c r="L30" s="11">
        <v>0.314</v>
      </c>
      <c r="M30" s="7">
        <v>0.35199999999999998</v>
      </c>
    </row>
    <row r="31" spans="2:15">
      <c r="D31" s="9">
        <v>0.25700000000000001</v>
      </c>
      <c r="E31" s="9">
        <v>0.27100000000000002</v>
      </c>
      <c r="F31" s="10">
        <v>0.224</v>
      </c>
      <c r="G31" s="9">
        <v>0.24399999999999999</v>
      </c>
      <c r="H31" s="9">
        <v>0.24299999999999999</v>
      </c>
      <c r="I31" s="10">
        <v>0.222</v>
      </c>
      <c r="J31" s="9">
        <v>0.28000000000000003</v>
      </c>
      <c r="K31" s="10">
        <v>0.22500000000000001</v>
      </c>
      <c r="L31" s="9">
        <v>0.27900000000000003</v>
      </c>
      <c r="M31" s="10">
        <v>0.20300000000000001</v>
      </c>
    </row>
    <row r="32" spans="2:15">
      <c r="C32">
        <f t="shared" ref="C32:M32" si="0">(C29-0.0434)/10.801*100</f>
        <v>0.95917044718081645</v>
      </c>
      <c r="D32">
        <f t="shared" si="0"/>
        <v>1.2091473011758169</v>
      </c>
      <c r="E32">
        <f t="shared" si="0"/>
        <v>2.384964355152301</v>
      </c>
      <c r="F32">
        <f t="shared" si="0"/>
        <v>2.5701323951485975</v>
      </c>
      <c r="G32">
        <f t="shared" si="0"/>
        <v>2.3016387371539668</v>
      </c>
      <c r="H32">
        <f t="shared" si="0"/>
        <v>2.2368299231552631</v>
      </c>
      <c r="I32">
        <f t="shared" si="0"/>
        <v>2.644199611147116</v>
      </c>
      <c r="J32">
        <f t="shared" si="0"/>
        <v>2.3942227571521153</v>
      </c>
      <c r="K32">
        <f t="shared" si="0"/>
        <v>2.0979538931580413</v>
      </c>
      <c r="L32">
        <f t="shared" si="0"/>
        <v>2.5793907971484122</v>
      </c>
      <c r="M32">
        <f t="shared" si="0"/>
        <v>2.4682899731506343</v>
      </c>
    </row>
    <row r="33" spans="1:33">
      <c r="D33">
        <f t="shared" ref="D33:M33" si="1">(D30-0.0434)/10.801*100</f>
        <v>1.4313489491713731</v>
      </c>
      <c r="E33">
        <f t="shared" si="1"/>
        <v>2.42199796315156</v>
      </c>
      <c r="F33">
        <f t="shared" si="1"/>
        <v>2.7090084251458202</v>
      </c>
      <c r="G33">
        <f t="shared" si="1"/>
        <v>2.310897139153782</v>
      </c>
      <c r="H33">
        <f t="shared" si="1"/>
        <v>2.4127395611517453</v>
      </c>
      <c r="I33">
        <f t="shared" si="1"/>
        <v>2.5423571891491528</v>
      </c>
      <c r="J33">
        <f t="shared" si="1"/>
        <v>2.8941764651421162</v>
      </c>
      <c r="K33">
        <f t="shared" si="1"/>
        <v>2.3479307471530415</v>
      </c>
      <c r="L33">
        <f t="shared" si="1"/>
        <v>2.5053235811498933</v>
      </c>
      <c r="M33">
        <f t="shared" si="1"/>
        <v>2.8571428571428572</v>
      </c>
    </row>
    <row r="34" spans="1:33">
      <c r="D34">
        <f t="shared" ref="D34:M34" si="2">(D31-0.0434)/10.801*100</f>
        <v>1.9775946671604483</v>
      </c>
      <c r="E34">
        <f t="shared" si="2"/>
        <v>2.107212295157856</v>
      </c>
      <c r="F34">
        <f t="shared" si="2"/>
        <v>1.6720674011665586</v>
      </c>
      <c r="G34">
        <f t="shared" si="2"/>
        <v>1.8572354411628553</v>
      </c>
      <c r="H34">
        <f t="shared" si="2"/>
        <v>1.8479770391630406</v>
      </c>
      <c r="I34">
        <f t="shared" si="2"/>
        <v>1.6535505971669289</v>
      </c>
      <c r="J34">
        <f t="shared" si="2"/>
        <v>2.1905379131561897</v>
      </c>
      <c r="K34">
        <f t="shared" si="2"/>
        <v>1.6813258031663736</v>
      </c>
      <c r="L34">
        <f t="shared" si="2"/>
        <v>2.1812795111563745</v>
      </c>
      <c r="M34">
        <f t="shared" si="2"/>
        <v>1.4776409591704474</v>
      </c>
    </row>
    <row r="37" spans="1:33" ht="14">
      <c r="C37" s="2">
        <v>0.153</v>
      </c>
      <c r="D37" s="10">
        <v>0.216</v>
      </c>
      <c r="E37" s="11">
        <v>0.28599999999999998</v>
      </c>
      <c r="F37" s="10">
        <v>0.222</v>
      </c>
      <c r="G37" s="9">
        <v>0.254</v>
      </c>
      <c r="H37" s="9">
        <v>0.26200000000000001</v>
      </c>
      <c r="I37" s="10">
        <v>0.23799999999999999</v>
      </c>
      <c r="J37" s="11">
        <v>0.28299999999999997</v>
      </c>
      <c r="K37" s="9">
        <v>0.253</v>
      </c>
      <c r="L37" s="11">
        <v>0.30099999999999999</v>
      </c>
      <c r="M37" s="10">
        <v>0.21199999999999999</v>
      </c>
      <c r="N37" s="22"/>
    </row>
    <row r="38" spans="1:33">
      <c r="D38" s="10">
        <v>0.20300000000000001</v>
      </c>
      <c r="E38" s="6">
        <v>0.17199999999999999</v>
      </c>
      <c r="F38" s="9">
        <v>0.27</v>
      </c>
      <c r="G38" s="9">
        <v>0.253</v>
      </c>
      <c r="H38" s="10">
        <v>0.20599999999999999</v>
      </c>
      <c r="I38" s="10">
        <v>0.24099999999999999</v>
      </c>
      <c r="J38" s="9">
        <v>0.245</v>
      </c>
      <c r="K38" s="11">
        <v>0.28699999999999998</v>
      </c>
      <c r="L38" s="11">
        <v>0.28799999999999998</v>
      </c>
      <c r="M38" s="7">
        <v>0.34899999999999998</v>
      </c>
    </row>
    <row r="39" spans="1:33">
      <c r="D39" s="6">
        <v>0.19</v>
      </c>
      <c r="E39" s="6">
        <v>0.16500000000000001</v>
      </c>
      <c r="F39" s="9">
        <v>0.25600000000000001</v>
      </c>
      <c r="G39" s="10">
        <v>0.221</v>
      </c>
      <c r="H39" s="10">
        <v>0.218</v>
      </c>
      <c r="I39" s="10">
        <v>0.215</v>
      </c>
      <c r="J39" s="10">
        <v>0.23200000000000001</v>
      </c>
      <c r="K39" s="11">
        <v>0.29599999999999999</v>
      </c>
      <c r="L39" s="9">
        <v>0.27800000000000002</v>
      </c>
      <c r="M39" s="17">
        <v>0.36799999999999999</v>
      </c>
    </row>
    <row r="40" spans="1:33">
      <c r="C40">
        <f t="shared" ref="C40:M40" si="3">(C37-0.0431)/11.094*100</f>
        <v>0.99062556336758611</v>
      </c>
      <c r="D40">
        <f t="shared" si="3"/>
        <v>1.5585000901388137</v>
      </c>
      <c r="E40">
        <f t="shared" si="3"/>
        <v>2.1894717865512887</v>
      </c>
      <c r="F40">
        <f t="shared" si="3"/>
        <v>1.6125833784027406</v>
      </c>
      <c r="G40">
        <f t="shared" si="3"/>
        <v>1.9010275824770149</v>
      </c>
      <c r="H40">
        <f t="shared" si="3"/>
        <v>1.9731386334955834</v>
      </c>
      <c r="I40">
        <f t="shared" si="3"/>
        <v>1.7568054804398774</v>
      </c>
      <c r="J40">
        <f t="shared" si="3"/>
        <v>2.1624301424193257</v>
      </c>
      <c r="K40">
        <f t="shared" si="3"/>
        <v>1.8920137010996936</v>
      </c>
      <c r="L40">
        <f t="shared" si="3"/>
        <v>2.3246800072111053</v>
      </c>
      <c r="M40">
        <f t="shared" si="3"/>
        <v>1.5224445646295295</v>
      </c>
    </row>
    <row r="41" spans="1:33">
      <c r="D41">
        <f t="shared" ref="D41:M41" si="4">(D38-0.0431)/11.094*100</f>
        <v>1.4413196322336401</v>
      </c>
      <c r="E41">
        <f t="shared" si="4"/>
        <v>1.1618893095366865</v>
      </c>
      <c r="F41">
        <f t="shared" si="4"/>
        <v>2.0452496845141521</v>
      </c>
      <c r="G41">
        <f t="shared" si="4"/>
        <v>1.8920137010996936</v>
      </c>
      <c r="H41">
        <f t="shared" si="4"/>
        <v>1.4683612763656029</v>
      </c>
      <c r="I41">
        <f t="shared" si="4"/>
        <v>1.7838471245718406</v>
      </c>
      <c r="J41">
        <f t="shared" si="4"/>
        <v>1.8199026500811251</v>
      </c>
      <c r="K41">
        <f t="shared" si="4"/>
        <v>2.19848566792861</v>
      </c>
      <c r="L41">
        <f t="shared" si="4"/>
        <v>2.2074995493059313</v>
      </c>
      <c r="M41">
        <f t="shared" si="4"/>
        <v>2.7573463133225165</v>
      </c>
    </row>
    <row r="42" spans="1:33">
      <c r="D42">
        <f t="shared" ref="D42:M42" si="5">(D39-0.0431)/11.094*100</f>
        <v>1.3241391743284658</v>
      </c>
      <c r="E42">
        <f t="shared" si="5"/>
        <v>1.0987921398954392</v>
      </c>
      <c r="F42">
        <f t="shared" si="5"/>
        <v>1.9190553452316568</v>
      </c>
      <c r="G42">
        <f t="shared" si="5"/>
        <v>1.6035694970254193</v>
      </c>
      <c r="H42">
        <f t="shared" si="5"/>
        <v>1.5765278528934561</v>
      </c>
      <c r="I42">
        <f t="shared" si="5"/>
        <v>1.5494862087614927</v>
      </c>
      <c r="J42">
        <f t="shared" si="5"/>
        <v>1.7027221921759512</v>
      </c>
      <c r="K42">
        <f t="shared" si="5"/>
        <v>2.2796106003244998</v>
      </c>
      <c r="L42">
        <f t="shared" si="5"/>
        <v>2.1173607355327206</v>
      </c>
      <c r="M42">
        <f t="shared" si="5"/>
        <v>2.9286100594916169</v>
      </c>
    </row>
    <row r="44" spans="1:33">
      <c r="C44" t="s">
        <v>28</v>
      </c>
      <c r="D44" t="s">
        <v>114</v>
      </c>
      <c r="E44" t="s">
        <v>113</v>
      </c>
      <c r="F44" t="s">
        <v>112</v>
      </c>
      <c r="G44" t="s">
        <v>111</v>
      </c>
      <c r="H44" t="s">
        <v>110</v>
      </c>
      <c r="I44" t="s">
        <v>109</v>
      </c>
      <c r="J44" t="s">
        <v>108</v>
      </c>
      <c r="K44" t="s">
        <v>107</v>
      </c>
      <c r="L44" t="s">
        <v>106</v>
      </c>
      <c r="M44" t="s">
        <v>105</v>
      </c>
      <c r="N44" t="s">
        <v>104</v>
      </c>
      <c r="O44" t="s">
        <v>103</v>
      </c>
      <c r="P44" t="s">
        <v>102</v>
      </c>
      <c r="Q44" t="s">
        <v>101</v>
      </c>
      <c r="R44" t="s">
        <v>100</v>
      </c>
      <c r="S44" t="s">
        <v>99</v>
      </c>
      <c r="T44" t="s">
        <v>98</v>
      </c>
      <c r="U44" t="s">
        <v>97</v>
      </c>
      <c r="V44" t="s">
        <v>96</v>
      </c>
      <c r="W44" t="s">
        <v>95</v>
      </c>
      <c r="X44" t="s">
        <v>94</v>
      </c>
      <c r="Y44" t="s">
        <v>93</v>
      </c>
      <c r="Z44" t="s">
        <v>92</v>
      </c>
      <c r="AA44" t="s">
        <v>91</v>
      </c>
      <c r="AB44" t="s">
        <v>90</v>
      </c>
      <c r="AC44" t="s">
        <v>89</v>
      </c>
      <c r="AD44" t="s">
        <v>88</v>
      </c>
      <c r="AE44" t="s">
        <v>87</v>
      </c>
      <c r="AF44" t="s">
        <v>86</v>
      </c>
      <c r="AG44" t="s">
        <v>15</v>
      </c>
    </row>
    <row r="45" spans="1:33" ht="14">
      <c r="A45" s="43" t="s">
        <v>29</v>
      </c>
      <c r="B45" s="12" t="s">
        <v>30</v>
      </c>
      <c r="C45" s="2">
        <v>0.14699999999999999</v>
      </c>
      <c r="D45" s="6">
        <v>0.17399999999999999</v>
      </c>
      <c r="E45" s="11">
        <v>0.30099999999999999</v>
      </c>
      <c r="F45" s="7">
        <v>0.32100000000000001</v>
      </c>
      <c r="G45" s="11">
        <v>0.29199999999999998</v>
      </c>
      <c r="H45" s="11">
        <v>0.28499999999999998</v>
      </c>
      <c r="I45" s="7">
        <v>0.32900000000000001</v>
      </c>
      <c r="J45" s="11">
        <v>0.30199999999999999</v>
      </c>
      <c r="K45" s="9">
        <v>0.27</v>
      </c>
      <c r="L45" s="7">
        <v>0.32200000000000001</v>
      </c>
      <c r="M45" s="11">
        <v>0.31</v>
      </c>
      <c r="N45" s="9">
        <v>0.25700000000000001</v>
      </c>
      <c r="O45" s="9">
        <v>0.27100000000000002</v>
      </c>
      <c r="P45" s="10">
        <v>0.224</v>
      </c>
      <c r="Q45" s="9">
        <v>0.24399999999999999</v>
      </c>
      <c r="R45" s="9">
        <v>0.24299999999999999</v>
      </c>
      <c r="S45" s="10">
        <v>0.222</v>
      </c>
      <c r="T45" s="9">
        <v>0.28000000000000003</v>
      </c>
      <c r="U45" s="10">
        <v>0.22500000000000001</v>
      </c>
      <c r="V45" s="9">
        <v>0.27900000000000003</v>
      </c>
      <c r="W45" s="10">
        <v>0.20300000000000001</v>
      </c>
      <c r="X45" s="10">
        <v>0.20300000000000001</v>
      </c>
      <c r="Y45" s="6">
        <v>0.17199999999999999</v>
      </c>
      <c r="Z45" s="9">
        <v>0.27</v>
      </c>
      <c r="AA45" s="9">
        <v>0.253</v>
      </c>
      <c r="AB45" s="10">
        <v>0.20599999999999999</v>
      </c>
      <c r="AC45" s="10">
        <v>0.24099999999999999</v>
      </c>
      <c r="AD45" s="9">
        <v>0.245</v>
      </c>
      <c r="AE45" s="11">
        <v>0.28699999999999998</v>
      </c>
      <c r="AF45" s="11">
        <v>0.28799999999999998</v>
      </c>
      <c r="AG45" s="7">
        <v>0.34899999999999998</v>
      </c>
    </row>
    <row r="46" spans="1:33" ht="14">
      <c r="A46" s="43"/>
      <c r="B46" s="12" t="s">
        <v>31</v>
      </c>
      <c r="C46" s="2">
        <v>0.153</v>
      </c>
      <c r="D46" s="9">
        <v>0.19800000000000001</v>
      </c>
      <c r="E46" s="11">
        <v>0.30499999999999999</v>
      </c>
      <c r="F46" s="7">
        <v>0.33600000000000002</v>
      </c>
      <c r="G46" s="11">
        <v>0.29299999999999998</v>
      </c>
      <c r="H46" s="11">
        <v>0.30399999999999999</v>
      </c>
      <c r="I46" s="11">
        <v>0.318</v>
      </c>
      <c r="J46" s="7">
        <v>0.35599999999999998</v>
      </c>
      <c r="K46" s="11">
        <v>0.29699999999999999</v>
      </c>
      <c r="L46" s="11">
        <v>0.314</v>
      </c>
      <c r="M46" s="7">
        <v>0.35199999999999998</v>
      </c>
      <c r="N46" s="10">
        <v>0.216</v>
      </c>
      <c r="O46" s="11">
        <v>0.28599999999999998</v>
      </c>
      <c r="P46" s="10">
        <v>0.222</v>
      </c>
      <c r="Q46" s="9">
        <v>0.254</v>
      </c>
      <c r="R46" s="9">
        <v>0.26200000000000001</v>
      </c>
      <c r="S46" s="10">
        <v>0.23799999999999999</v>
      </c>
      <c r="T46" s="11">
        <v>0.28299999999999997</v>
      </c>
      <c r="U46" s="9">
        <v>0.253</v>
      </c>
      <c r="V46" s="11">
        <v>0.30099999999999999</v>
      </c>
      <c r="W46" s="10">
        <v>0.21199999999999999</v>
      </c>
      <c r="X46" s="6">
        <v>0.19</v>
      </c>
      <c r="Y46" s="6">
        <v>0.16500000000000001</v>
      </c>
      <c r="Z46" s="9">
        <v>0.25600000000000001</v>
      </c>
      <c r="AA46" s="10">
        <v>0.221</v>
      </c>
      <c r="AB46" s="10">
        <v>0.218</v>
      </c>
      <c r="AC46" s="10">
        <v>0.215</v>
      </c>
      <c r="AD46" s="10">
        <v>0.23200000000000001</v>
      </c>
      <c r="AE46" s="11">
        <v>0.29599999999999999</v>
      </c>
      <c r="AF46" s="9">
        <v>0.27800000000000002</v>
      </c>
      <c r="AG46" s="17">
        <v>0.36799999999999999</v>
      </c>
    </row>
    <row r="47" spans="1:33" ht="14">
      <c r="A47" s="42" t="s">
        <v>32</v>
      </c>
      <c r="B47" s="12" t="s">
        <v>30</v>
      </c>
      <c r="C47">
        <v>0.95917044718081645</v>
      </c>
      <c r="D47">
        <v>1.2091473011758169</v>
      </c>
      <c r="E47">
        <v>2.384964355152301</v>
      </c>
      <c r="F47">
        <v>2.5701323951485975</v>
      </c>
      <c r="G47">
        <v>2.3016387371539668</v>
      </c>
      <c r="H47">
        <v>2.2368299231552631</v>
      </c>
      <c r="I47">
        <v>2.644199611147116</v>
      </c>
      <c r="J47">
        <v>2.3942227571521153</v>
      </c>
      <c r="K47">
        <v>2.0979538931580413</v>
      </c>
      <c r="L47">
        <v>2.5793907971484122</v>
      </c>
      <c r="M47">
        <v>2.4682899731506343</v>
      </c>
      <c r="N47">
        <v>1.9775946671604483</v>
      </c>
      <c r="O47">
        <v>2.107212295157856</v>
      </c>
      <c r="P47">
        <v>1.6720674011665586</v>
      </c>
      <c r="Q47">
        <v>1.8572354411628553</v>
      </c>
      <c r="R47">
        <v>1.8479770391630406</v>
      </c>
      <c r="S47">
        <v>1.6535505971669289</v>
      </c>
      <c r="T47">
        <v>2.1905379131561897</v>
      </c>
      <c r="U47">
        <v>1.6813258031663736</v>
      </c>
      <c r="V47">
        <v>2.1812795111563745</v>
      </c>
      <c r="W47">
        <v>1.4776409591704474</v>
      </c>
      <c r="X47">
        <v>1.4413196322336401</v>
      </c>
      <c r="Y47">
        <v>1.1618893095366865</v>
      </c>
      <c r="Z47">
        <v>2.0452496845141521</v>
      </c>
      <c r="AA47">
        <v>1.8920137010996936</v>
      </c>
      <c r="AB47">
        <v>1.4683612763656029</v>
      </c>
      <c r="AC47">
        <v>1.7838471245718406</v>
      </c>
      <c r="AD47">
        <v>1.8199026500811251</v>
      </c>
      <c r="AE47">
        <v>2.19848566792861</v>
      </c>
      <c r="AF47">
        <v>2.2074995493059313</v>
      </c>
      <c r="AG47">
        <v>2.7573463133225165</v>
      </c>
    </row>
    <row r="48" spans="1:33" ht="14">
      <c r="A48" s="42"/>
      <c r="B48" s="12" t="s">
        <v>31</v>
      </c>
      <c r="C48">
        <v>0.99062556336758611</v>
      </c>
      <c r="D48">
        <v>1.4313489491713731</v>
      </c>
      <c r="E48">
        <v>2.42199796315156</v>
      </c>
      <c r="F48">
        <v>2.7090084251458202</v>
      </c>
      <c r="G48">
        <v>2.310897139153782</v>
      </c>
      <c r="H48">
        <v>2.4127395611517453</v>
      </c>
      <c r="I48">
        <v>2.5423571891491528</v>
      </c>
      <c r="J48">
        <v>2.8941764651421162</v>
      </c>
      <c r="K48">
        <v>2.3479307471530415</v>
      </c>
      <c r="L48">
        <v>2.5053235811498933</v>
      </c>
      <c r="M48">
        <v>2.8571428571428572</v>
      </c>
      <c r="N48">
        <v>1.5585000901388137</v>
      </c>
      <c r="O48">
        <v>2.1894717865512887</v>
      </c>
      <c r="P48">
        <v>1.6125833784027406</v>
      </c>
      <c r="Q48">
        <v>1.9010275824770149</v>
      </c>
      <c r="R48">
        <v>1.9731386334955834</v>
      </c>
      <c r="S48">
        <v>1.7568054804398774</v>
      </c>
      <c r="T48">
        <v>2.1624301424193257</v>
      </c>
      <c r="U48">
        <v>1.8920137010996936</v>
      </c>
      <c r="V48">
        <v>2.3246800072111053</v>
      </c>
      <c r="W48">
        <v>1.5224445646295295</v>
      </c>
      <c r="X48">
        <v>1.3241391743284658</v>
      </c>
      <c r="Y48">
        <v>1.0987921398954392</v>
      </c>
      <c r="Z48">
        <v>1.9190553452316568</v>
      </c>
      <c r="AA48">
        <v>1.6035694970254193</v>
      </c>
      <c r="AB48">
        <v>1.5765278528934561</v>
      </c>
      <c r="AC48">
        <v>1.5494862087614927</v>
      </c>
      <c r="AD48">
        <v>1.7027221921759512</v>
      </c>
      <c r="AE48">
        <v>2.2796106003244998</v>
      </c>
      <c r="AF48">
        <v>2.1173607355327206</v>
      </c>
      <c r="AG48">
        <v>2.9286100594916169</v>
      </c>
    </row>
    <row r="49" spans="1:33" ht="14">
      <c r="A49" s="42" t="s">
        <v>33</v>
      </c>
      <c r="B49" s="12" t="s">
        <v>30</v>
      </c>
      <c r="D49">
        <f t="shared" ref="D49:W49" si="6">D47-0.95917</f>
        <v>0.24997730117581696</v>
      </c>
      <c r="E49">
        <f t="shared" si="6"/>
        <v>1.4257943551523011</v>
      </c>
      <c r="F49">
        <f t="shared" si="6"/>
        <v>1.6109623951485976</v>
      </c>
      <c r="G49">
        <f t="shared" si="6"/>
        <v>1.342468737153967</v>
      </c>
      <c r="H49">
        <f t="shared" si="6"/>
        <v>1.2776599231552632</v>
      </c>
      <c r="I49">
        <f t="shared" si="6"/>
        <v>1.6850296111471161</v>
      </c>
      <c r="J49">
        <f t="shared" si="6"/>
        <v>1.4350527571521154</v>
      </c>
      <c r="K49">
        <f t="shared" si="6"/>
        <v>1.1387838931580414</v>
      </c>
      <c r="L49">
        <f t="shared" si="6"/>
        <v>1.6202207971484124</v>
      </c>
      <c r="M49">
        <f t="shared" si="6"/>
        <v>1.5091199731506344</v>
      </c>
      <c r="N49">
        <f t="shared" si="6"/>
        <v>1.0184246671604482</v>
      </c>
      <c r="O49">
        <f t="shared" si="6"/>
        <v>1.1480422951578562</v>
      </c>
      <c r="P49">
        <f t="shared" si="6"/>
        <v>0.71289740116655864</v>
      </c>
      <c r="Q49">
        <f t="shared" si="6"/>
        <v>0.89806544116285536</v>
      </c>
      <c r="R49">
        <f t="shared" si="6"/>
        <v>0.8888070391630406</v>
      </c>
      <c r="S49">
        <f t="shared" si="6"/>
        <v>0.6943805971669289</v>
      </c>
      <c r="T49">
        <f t="shared" si="6"/>
        <v>1.2313679131561899</v>
      </c>
      <c r="U49">
        <f t="shared" si="6"/>
        <v>0.72215580316637362</v>
      </c>
      <c r="V49">
        <f t="shared" si="6"/>
        <v>1.2221095111563747</v>
      </c>
      <c r="W49">
        <f t="shared" si="6"/>
        <v>0.51847095917044739</v>
      </c>
      <c r="X49">
        <f t="shared" ref="X49:AG49" si="7">X47-0.990626</f>
        <v>0.45069363223364012</v>
      </c>
      <c r="Y49">
        <f t="shared" si="7"/>
        <v>0.17126330953668645</v>
      </c>
      <c r="Z49">
        <f t="shared" si="7"/>
        <v>1.0546236845141521</v>
      </c>
      <c r="AA49">
        <f t="shared" si="7"/>
        <v>0.90138770109969357</v>
      </c>
      <c r="AB49">
        <f t="shared" si="7"/>
        <v>0.47773527636560287</v>
      </c>
      <c r="AC49">
        <f t="shared" si="7"/>
        <v>0.79322112457184057</v>
      </c>
      <c r="AD49">
        <f t="shared" si="7"/>
        <v>0.82927665008112506</v>
      </c>
      <c r="AE49">
        <f t="shared" si="7"/>
        <v>1.20785966792861</v>
      </c>
      <c r="AF49">
        <f t="shared" si="7"/>
        <v>1.2168735493059313</v>
      </c>
      <c r="AG49">
        <f t="shared" si="7"/>
        <v>1.7667203133225164</v>
      </c>
    </row>
    <row r="50" spans="1:33" ht="14">
      <c r="A50" s="42"/>
      <c r="B50" s="12" t="s">
        <v>31</v>
      </c>
      <c r="D50">
        <f t="shared" ref="D50:M50" si="8">D48-0.95917</f>
        <v>0.47217894917137315</v>
      </c>
      <c r="E50">
        <f t="shared" si="8"/>
        <v>1.4628279631515602</v>
      </c>
      <c r="F50">
        <f t="shared" si="8"/>
        <v>1.7498384251458203</v>
      </c>
      <c r="G50">
        <f t="shared" si="8"/>
        <v>1.3517271391537822</v>
      </c>
      <c r="H50">
        <f t="shared" si="8"/>
        <v>1.4535695611517454</v>
      </c>
      <c r="I50">
        <f t="shared" si="8"/>
        <v>1.5831871891491529</v>
      </c>
      <c r="J50">
        <f t="shared" si="8"/>
        <v>1.9350064651421164</v>
      </c>
      <c r="K50">
        <f t="shared" si="8"/>
        <v>1.3887607471530417</v>
      </c>
      <c r="L50">
        <f t="shared" si="8"/>
        <v>1.5461535811498934</v>
      </c>
      <c r="M50">
        <f t="shared" si="8"/>
        <v>1.8979728571428574</v>
      </c>
      <c r="N50">
        <f t="shared" ref="N50:W50" si="9">N48-0.990626</f>
        <v>0.56787409013881374</v>
      </c>
      <c r="O50">
        <f t="shared" si="9"/>
        <v>1.1988457865512887</v>
      </c>
      <c r="P50">
        <f t="shared" si="9"/>
        <v>0.62195737840274057</v>
      </c>
      <c r="Q50">
        <f t="shared" si="9"/>
        <v>0.91040158247701486</v>
      </c>
      <c r="R50">
        <f t="shared" si="9"/>
        <v>0.98251263349558338</v>
      </c>
      <c r="S50">
        <f t="shared" si="9"/>
        <v>0.76617948043987738</v>
      </c>
      <c r="T50">
        <f t="shared" si="9"/>
        <v>1.1718041424193257</v>
      </c>
      <c r="U50">
        <f t="shared" si="9"/>
        <v>0.90138770109969357</v>
      </c>
      <c r="V50">
        <f t="shared" si="9"/>
        <v>1.3340540072111053</v>
      </c>
      <c r="W50">
        <f t="shared" si="9"/>
        <v>0.53181856462952948</v>
      </c>
      <c r="X50">
        <f t="shared" ref="X50:AG50" si="10">X48-0.990626</f>
        <v>0.33351317432846583</v>
      </c>
      <c r="Y50">
        <f t="shared" si="10"/>
        <v>0.10816613989543922</v>
      </c>
      <c r="Z50">
        <f t="shared" si="10"/>
        <v>0.92842934523165677</v>
      </c>
      <c r="AA50">
        <f t="shared" si="10"/>
        <v>0.61294349702541928</v>
      </c>
      <c r="AB50">
        <f t="shared" si="10"/>
        <v>0.58590185289345609</v>
      </c>
      <c r="AC50">
        <f t="shared" si="10"/>
        <v>0.55886020876149267</v>
      </c>
      <c r="AD50">
        <f t="shared" si="10"/>
        <v>0.71209619217595121</v>
      </c>
      <c r="AE50">
        <f t="shared" si="10"/>
        <v>1.2889846003244998</v>
      </c>
      <c r="AF50">
        <f t="shared" si="10"/>
        <v>1.1267347355327206</v>
      </c>
      <c r="AG50">
        <f t="shared" si="10"/>
        <v>1.9379840594916169</v>
      </c>
    </row>
    <row r="51" spans="1:33" ht="14">
      <c r="A51" s="42" t="s">
        <v>34</v>
      </c>
      <c r="B51" s="12" t="s">
        <v>30</v>
      </c>
      <c r="D51">
        <f t="shared" ref="D51:AG51" si="11">D49/342.3*1000000</f>
        <v>730.28717842774449</v>
      </c>
      <c r="E51">
        <f t="shared" si="11"/>
        <v>4165.3355394458113</v>
      </c>
      <c r="F51">
        <f t="shared" si="11"/>
        <v>4706.2880372439313</v>
      </c>
      <c r="G51">
        <f t="shared" si="11"/>
        <v>3921.9069154366548</v>
      </c>
      <c r="H51">
        <f t="shared" si="11"/>
        <v>3732.5735412073127</v>
      </c>
      <c r="I51">
        <f t="shared" si="11"/>
        <v>4922.6690363631787</v>
      </c>
      <c r="J51">
        <f t="shared" si="11"/>
        <v>4192.3831643357153</v>
      </c>
      <c r="K51">
        <f t="shared" si="11"/>
        <v>3326.8591678587245</v>
      </c>
      <c r="L51">
        <f t="shared" si="11"/>
        <v>4733.3356621338362</v>
      </c>
      <c r="M51">
        <f t="shared" si="11"/>
        <v>4408.7641634549645</v>
      </c>
      <c r="N51">
        <f t="shared" si="11"/>
        <v>2975.2400442899452</v>
      </c>
      <c r="O51">
        <f t="shared" si="11"/>
        <v>3353.9067927486299</v>
      </c>
      <c r="P51">
        <f t="shared" si="11"/>
        <v>2082.6684229230459</v>
      </c>
      <c r="Q51">
        <f t="shared" si="11"/>
        <v>2623.6209207211664</v>
      </c>
      <c r="R51">
        <f t="shared" si="11"/>
        <v>2596.573295831261</v>
      </c>
      <c r="S51">
        <f t="shared" si="11"/>
        <v>2028.5731731432338</v>
      </c>
      <c r="T51">
        <f t="shared" si="11"/>
        <v>3597.335416757785</v>
      </c>
      <c r="U51">
        <f t="shared" si="11"/>
        <v>2109.7160478129526</v>
      </c>
      <c r="V51">
        <f t="shared" si="11"/>
        <v>3570.2877918678778</v>
      </c>
      <c r="W51">
        <f t="shared" si="11"/>
        <v>1514.6683002350201</v>
      </c>
      <c r="X51">
        <f t="shared" si="11"/>
        <v>1316.6626708549229</v>
      </c>
      <c r="Y51">
        <f t="shared" si="11"/>
        <v>500.33102406277078</v>
      </c>
      <c r="Z51">
        <f t="shared" si="11"/>
        <v>3080.9923590831204</v>
      </c>
      <c r="AA51">
        <f t="shared" si="11"/>
        <v>2633.3266172938752</v>
      </c>
      <c r="AB51">
        <f t="shared" si="11"/>
        <v>1395.6625076412586</v>
      </c>
      <c r="AC51">
        <f t="shared" si="11"/>
        <v>2317.3272701485266</v>
      </c>
      <c r="AD51">
        <f t="shared" si="11"/>
        <v>2422.6603858636431</v>
      </c>
      <c r="AE51">
        <f t="shared" si="11"/>
        <v>3528.6581008723633</v>
      </c>
      <c r="AF51">
        <f t="shared" si="11"/>
        <v>3554.9913798011426</v>
      </c>
      <c r="AG51">
        <f t="shared" si="11"/>
        <v>5161.3213944566651</v>
      </c>
    </row>
    <row r="52" spans="1:33" ht="14">
      <c r="A52" s="42"/>
      <c r="B52" s="12" t="s">
        <v>31</v>
      </c>
      <c r="D52">
        <f t="shared" ref="D52:AG52" si="12">D50/342.3*1000000</f>
        <v>1379.4301757854898</v>
      </c>
      <c r="E52">
        <f t="shared" si="12"/>
        <v>4273.5260390054336</v>
      </c>
      <c r="F52">
        <f t="shared" si="12"/>
        <v>5112.0024105925222</v>
      </c>
      <c r="G52">
        <f t="shared" si="12"/>
        <v>3948.9545403265615</v>
      </c>
      <c r="H52">
        <f t="shared" si="12"/>
        <v>4246.4784141155278</v>
      </c>
      <c r="I52">
        <f t="shared" si="12"/>
        <v>4625.1451625742129</v>
      </c>
      <c r="J52">
        <f t="shared" si="12"/>
        <v>5652.9549083906404</v>
      </c>
      <c r="K52">
        <f t="shared" si="12"/>
        <v>4057.1450398861862</v>
      </c>
      <c r="L52">
        <f t="shared" si="12"/>
        <v>4516.9546630145878</v>
      </c>
      <c r="M52">
        <f t="shared" si="12"/>
        <v>5544.7644088310171</v>
      </c>
      <c r="N52">
        <f t="shared" si="12"/>
        <v>1658.9952969290496</v>
      </c>
      <c r="O52">
        <f t="shared" si="12"/>
        <v>3502.3248219435836</v>
      </c>
      <c r="P52">
        <f t="shared" si="12"/>
        <v>1816.9949705017252</v>
      </c>
      <c r="Q52">
        <f t="shared" si="12"/>
        <v>2659.6598962226549</v>
      </c>
      <c r="R52">
        <f t="shared" si="12"/>
        <v>2870.3261276528874</v>
      </c>
      <c r="S52">
        <f t="shared" si="12"/>
        <v>2238.3274333621889</v>
      </c>
      <c r="T52">
        <f t="shared" si="12"/>
        <v>3423.3249851572473</v>
      </c>
      <c r="U52">
        <f t="shared" si="12"/>
        <v>2633.3266172938752</v>
      </c>
      <c r="V52">
        <f t="shared" si="12"/>
        <v>3897.3240058752708</v>
      </c>
      <c r="W52">
        <f t="shared" si="12"/>
        <v>1553.6621812139335</v>
      </c>
      <c r="X52">
        <f t="shared" si="12"/>
        <v>974.33004478079408</v>
      </c>
      <c r="Y52">
        <f t="shared" si="12"/>
        <v>315.99807156131817</v>
      </c>
      <c r="Z52">
        <f t="shared" si="12"/>
        <v>2712.3264540802124</v>
      </c>
      <c r="AA52">
        <f t="shared" si="12"/>
        <v>1790.6616915729458</v>
      </c>
      <c r="AB52">
        <f t="shared" si="12"/>
        <v>1711.6618547866085</v>
      </c>
      <c r="AC52">
        <f t="shared" si="12"/>
        <v>1632.6620180002708</v>
      </c>
      <c r="AD52">
        <f t="shared" si="12"/>
        <v>2080.3277597895153</v>
      </c>
      <c r="AE52">
        <f t="shared" si="12"/>
        <v>3765.6576112313755</v>
      </c>
      <c r="AF52">
        <f t="shared" si="12"/>
        <v>3291.6585905133525</v>
      </c>
      <c r="AG52">
        <f t="shared" si="12"/>
        <v>5661.6536941034674</v>
      </c>
    </row>
    <row r="53" spans="1:33" ht="14">
      <c r="A53" s="42" t="s">
        <v>35</v>
      </c>
      <c r="B53" s="12" t="s">
        <v>30</v>
      </c>
      <c r="D53">
        <f t="shared" ref="D53:AG53" si="13">(D51*0.002)/(1*10)*1000</f>
        <v>146.05743568554891</v>
      </c>
      <c r="E53">
        <f t="shared" si="13"/>
        <v>833.06710788916223</v>
      </c>
      <c r="F53">
        <f t="shared" si="13"/>
        <v>941.2576074487863</v>
      </c>
      <c r="G53">
        <f t="shared" si="13"/>
        <v>784.38138308733096</v>
      </c>
      <c r="H53">
        <f t="shared" si="13"/>
        <v>746.51470824146247</v>
      </c>
      <c r="I53">
        <f t="shared" si="13"/>
        <v>984.53380727263584</v>
      </c>
      <c r="J53">
        <f t="shared" si="13"/>
        <v>838.47663286714305</v>
      </c>
      <c r="K53">
        <f t="shared" si="13"/>
        <v>665.3718335717449</v>
      </c>
      <c r="L53">
        <f t="shared" si="13"/>
        <v>946.66713242676724</v>
      </c>
      <c r="M53">
        <f t="shared" si="13"/>
        <v>881.75283269099293</v>
      </c>
      <c r="N53">
        <f t="shared" si="13"/>
        <v>595.04800885798898</v>
      </c>
      <c r="O53">
        <f t="shared" si="13"/>
        <v>670.78135854972595</v>
      </c>
      <c r="P53">
        <f t="shared" si="13"/>
        <v>416.53368458460915</v>
      </c>
      <c r="Q53">
        <f t="shared" si="13"/>
        <v>524.72418414423328</v>
      </c>
      <c r="R53">
        <f t="shared" si="13"/>
        <v>519.31465916625223</v>
      </c>
      <c r="S53">
        <f t="shared" si="13"/>
        <v>405.71463462864676</v>
      </c>
      <c r="T53">
        <f t="shared" si="13"/>
        <v>719.46708335155699</v>
      </c>
      <c r="U53">
        <f t="shared" si="13"/>
        <v>421.9432095625906</v>
      </c>
      <c r="V53">
        <f t="shared" si="13"/>
        <v>714.05755837357549</v>
      </c>
      <c r="W53">
        <f t="shared" si="13"/>
        <v>302.93366004700403</v>
      </c>
      <c r="X53">
        <f t="shared" si="13"/>
        <v>263.33253417098456</v>
      </c>
      <c r="Y53">
        <f t="shared" si="13"/>
        <v>100.06620481255416</v>
      </c>
      <c r="Z53">
        <f t="shared" si="13"/>
        <v>616.19847181662396</v>
      </c>
      <c r="AA53">
        <f t="shared" si="13"/>
        <v>526.66532345877499</v>
      </c>
      <c r="AB53">
        <f t="shared" si="13"/>
        <v>279.13250152825168</v>
      </c>
      <c r="AC53">
        <f t="shared" si="13"/>
        <v>463.46545402970537</v>
      </c>
      <c r="AD53">
        <f t="shared" si="13"/>
        <v>484.53207717272869</v>
      </c>
      <c r="AE53">
        <f t="shared" si="13"/>
        <v>705.73162017447271</v>
      </c>
      <c r="AF53">
        <f t="shared" si="13"/>
        <v>710.99827596022863</v>
      </c>
      <c r="AG53">
        <f t="shared" si="13"/>
        <v>1032.2642788913331</v>
      </c>
    </row>
    <row r="54" spans="1:33" ht="14">
      <c r="A54" s="42"/>
      <c r="B54" s="12" t="s">
        <v>31</v>
      </c>
      <c r="D54">
        <f t="shared" ref="D54:AG54" si="14">(D52*0.002)/(1*10)*1000</f>
        <v>275.88603515709798</v>
      </c>
      <c r="E54">
        <f t="shared" si="14"/>
        <v>854.70520780108689</v>
      </c>
      <c r="F54">
        <f t="shared" si="14"/>
        <v>1022.4004821185044</v>
      </c>
      <c r="G54">
        <f t="shared" si="14"/>
        <v>789.79090806531235</v>
      </c>
      <c r="H54">
        <f t="shared" si="14"/>
        <v>849.29568282310561</v>
      </c>
      <c r="I54">
        <f t="shared" si="14"/>
        <v>925.02903251484247</v>
      </c>
      <c r="J54">
        <f t="shared" si="14"/>
        <v>1130.5909816781282</v>
      </c>
      <c r="K54">
        <f t="shared" si="14"/>
        <v>811.42900797723723</v>
      </c>
      <c r="L54">
        <f t="shared" si="14"/>
        <v>903.3909326029177</v>
      </c>
      <c r="M54">
        <f t="shared" si="14"/>
        <v>1108.9528817662033</v>
      </c>
      <c r="N54">
        <f t="shared" si="14"/>
        <v>331.79905938580987</v>
      </c>
      <c r="O54">
        <f t="shared" si="14"/>
        <v>700.46496438871679</v>
      </c>
      <c r="P54">
        <f t="shared" si="14"/>
        <v>363.39899410034502</v>
      </c>
      <c r="Q54">
        <f t="shared" si="14"/>
        <v>531.93197924453091</v>
      </c>
      <c r="R54">
        <f t="shared" si="14"/>
        <v>574.06522553057744</v>
      </c>
      <c r="S54">
        <f t="shared" si="14"/>
        <v>447.66548667243779</v>
      </c>
      <c r="T54">
        <f t="shared" si="14"/>
        <v>684.6649970314495</v>
      </c>
      <c r="U54">
        <f t="shared" si="14"/>
        <v>526.66532345877499</v>
      </c>
      <c r="V54">
        <f t="shared" si="14"/>
        <v>779.46480117505416</v>
      </c>
      <c r="W54">
        <f t="shared" si="14"/>
        <v>310.73243624278666</v>
      </c>
      <c r="X54">
        <f t="shared" si="14"/>
        <v>194.86600895615882</v>
      </c>
      <c r="Y54">
        <f t="shared" si="14"/>
        <v>63.199614312263634</v>
      </c>
      <c r="Z54">
        <f t="shared" si="14"/>
        <v>542.46529081604251</v>
      </c>
      <c r="AA54">
        <f t="shared" si="14"/>
        <v>358.13233831458916</v>
      </c>
      <c r="AB54">
        <f t="shared" si="14"/>
        <v>342.3323709573217</v>
      </c>
      <c r="AC54">
        <f t="shared" si="14"/>
        <v>326.53240360005418</v>
      </c>
      <c r="AD54">
        <f t="shared" si="14"/>
        <v>416.06555195790304</v>
      </c>
      <c r="AE54">
        <f t="shared" si="14"/>
        <v>753.13152224627515</v>
      </c>
      <c r="AF54">
        <f t="shared" si="14"/>
        <v>658.33171810267049</v>
      </c>
      <c r="AG54">
        <f t="shared" si="14"/>
        <v>1132.3307388206936</v>
      </c>
    </row>
    <row r="55" spans="1:33" ht="14">
      <c r="A55" s="13"/>
      <c r="B55" s="14" t="s">
        <v>36</v>
      </c>
      <c r="D55">
        <f t="shared" ref="D55:AG55" si="15">AVERAGE(D53:D54)</f>
        <v>210.97173542132344</v>
      </c>
      <c r="E55">
        <f t="shared" si="15"/>
        <v>843.88615784512456</v>
      </c>
      <c r="F55">
        <f t="shared" si="15"/>
        <v>981.82904478364537</v>
      </c>
      <c r="G55">
        <f t="shared" si="15"/>
        <v>787.08614557632166</v>
      </c>
      <c r="H55">
        <f t="shared" si="15"/>
        <v>797.9051955322841</v>
      </c>
      <c r="I55">
        <f t="shared" si="15"/>
        <v>954.78141989373921</v>
      </c>
      <c r="J55">
        <f t="shared" si="15"/>
        <v>984.53380727263561</v>
      </c>
      <c r="K55">
        <f t="shared" si="15"/>
        <v>738.40042077449107</v>
      </c>
      <c r="L55">
        <f t="shared" si="15"/>
        <v>925.02903251484247</v>
      </c>
      <c r="M55">
        <f t="shared" si="15"/>
        <v>995.35285722859817</v>
      </c>
      <c r="N55">
        <f t="shared" si="15"/>
        <v>463.42353412189942</v>
      </c>
      <c r="O55">
        <f t="shared" si="15"/>
        <v>685.62316146922137</v>
      </c>
      <c r="P55">
        <f t="shared" si="15"/>
        <v>389.96633934247711</v>
      </c>
      <c r="Q55">
        <f t="shared" si="15"/>
        <v>528.32808169438204</v>
      </c>
      <c r="R55">
        <f t="shared" si="15"/>
        <v>546.68994234841489</v>
      </c>
      <c r="S55">
        <f t="shared" si="15"/>
        <v>426.69006065054225</v>
      </c>
      <c r="T55">
        <f t="shared" si="15"/>
        <v>702.06604019150325</v>
      </c>
      <c r="U55">
        <f t="shared" si="15"/>
        <v>474.30426651068279</v>
      </c>
      <c r="V55">
        <f t="shared" si="15"/>
        <v>746.76117977431477</v>
      </c>
      <c r="W55">
        <f t="shared" si="15"/>
        <v>306.83304814489532</v>
      </c>
      <c r="X55">
        <f t="shared" si="15"/>
        <v>229.09927156357168</v>
      </c>
      <c r="Y55">
        <f t="shared" si="15"/>
        <v>81.632909562408898</v>
      </c>
      <c r="Z55">
        <f t="shared" si="15"/>
        <v>579.33188131633324</v>
      </c>
      <c r="AA55">
        <f t="shared" si="15"/>
        <v>442.39883088668205</v>
      </c>
      <c r="AB55">
        <f t="shared" si="15"/>
        <v>310.73243624278666</v>
      </c>
      <c r="AC55">
        <f t="shared" si="15"/>
        <v>394.99892881487978</v>
      </c>
      <c r="AD55">
        <f t="shared" si="15"/>
        <v>450.29881456531587</v>
      </c>
      <c r="AE55">
        <f t="shared" si="15"/>
        <v>729.43157121037393</v>
      </c>
      <c r="AF55">
        <f t="shared" si="15"/>
        <v>684.6649970314495</v>
      </c>
      <c r="AG55">
        <f t="shared" si="15"/>
        <v>1082.2975088560133</v>
      </c>
    </row>
    <row r="56" spans="1:33" ht="14">
      <c r="A56" s="13"/>
      <c r="B56" s="14" t="s">
        <v>37</v>
      </c>
      <c r="D56">
        <f t="shared" ref="D56:AG56" si="16">STDEV(D53:D54)</f>
        <v>91.802683078284574</v>
      </c>
      <c r="E56">
        <f t="shared" si="16"/>
        <v>15.300447179713961</v>
      </c>
      <c r="F56">
        <f t="shared" si="16"/>
        <v>57.376676923927832</v>
      </c>
      <c r="G56">
        <f t="shared" si="16"/>
        <v>3.8251117949286506</v>
      </c>
      <c r="H56">
        <f t="shared" si="16"/>
        <v>72.677124103642043</v>
      </c>
      <c r="I56">
        <f t="shared" si="16"/>
        <v>42.076229744213791</v>
      </c>
      <c r="J56">
        <f t="shared" si="16"/>
        <v>206.55603692614011</v>
      </c>
      <c r="K56">
        <f t="shared" si="16"/>
        <v>103.27801846306987</v>
      </c>
      <c r="L56">
        <f t="shared" si="16"/>
        <v>30.600894359428082</v>
      </c>
      <c r="M56">
        <f t="shared" si="16"/>
        <v>160.65469538699696</v>
      </c>
      <c r="N56">
        <f t="shared" si="16"/>
        <v>186.14511731201264</v>
      </c>
      <c r="O56">
        <f t="shared" si="16"/>
        <v>20.989478978819022</v>
      </c>
      <c r="P56">
        <f t="shared" si="16"/>
        <v>37.571899957671484</v>
      </c>
      <c r="Q56">
        <f t="shared" si="16"/>
        <v>5.0966807928236264</v>
      </c>
      <c r="R56">
        <f t="shared" si="16"/>
        <v>38.714496750018455</v>
      </c>
      <c r="S56">
        <f t="shared" si="16"/>
        <v>29.663731956718173</v>
      </c>
      <c r="T56">
        <f t="shared" si="16"/>
        <v>24.608791236387585</v>
      </c>
      <c r="U56">
        <f t="shared" si="16"/>
        <v>74.049716876182174</v>
      </c>
      <c r="V56">
        <f t="shared" si="16"/>
        <v>46.249904923640564</v>
      </c>
      <c r="W56">
        <f t="shared" si="16"/>
        <v>5.5145675329941284</v>
      </c>
      <c r="X56">
        <f t="shared" si="16"/>
        <v>48.413144263683186</v>
      </c>
      <c r="Y56">
        <f t="shared" si="16"/>
        <v>26.068616141982972</v>
      </c>
      <c r="Z56">
        <f t="shared" si="16"/>
        <v>52.137232283966256</v>
      </c>
      <c r="AA56">
        <f t="shared" si="16"/>
        <v>119.17081664906574</v>
      </c>
      <c r="AB56">
        <f t="shared" si="16"/>
        <v>44.689056243400138</v>
      </c>
      <c r="AC56">
        <f t="shared" si="16"/>
        <v>96.826288527365776</v>
      </c>
      <c r="AD56">
        <f t="shared" si="16"/>
        <v>48.413144263682959</v>
      </c>
      <c r="AE56">
        <f t="shared" si="16"/>
        <v>33.516792182549793</v>
      </c>
      <c r="AF56">
        <f t="shared" si="16"/>
        <v>37.240880202833004</v>
      </c>
      <c r="AG56">
        <f t="shared" si="16"/>
        <v>70.757672385382719</v>
      </c>
    </row>
  </sheetData>
  <mergeCells count="5">
    <mergeCell ref="A45:A46"/>
    <mergeCell ref="A47:A48"/>
    <mergeCell ref="A49:A50"/>
    <mergeCell ref="A51:A52"/>
    <mergeCell ref="A53:A54"/>
  </mergeCells>
  <phoneticPr fontId="8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A685-B4C6-445C-8A92-5187BB54F849}">
  <dimension ref="A3:AF43"/>
  <sheetViews>
    <sheetView zoomScale="85" workbookViewId="0">
      <selection activeCell="C32" sqref="C32"/>
    </sheetView>
  </sheetViews>
  <sheetFormatPr baseColWidth="10" defaultColWidth="8.83203125" defaultRowHeight="13"/>
  <cols>
    <col min="1" max="1" width="20.6640625" customWidth="1"/>
    <col min="2" max="2" width="12.6640625" customWidth="1"/>
    <col min="3" max="6" width="9" bestFit="1" customWidth="1"/>
    <col min="7" max="7" width="9.1640625" bestFit="1" customWidth="1"/>
    <col min="8" max="26" width="9" bestFit="1" customWidth="1"/>
  </cols>
  <sheetData>
    <row r="3" spans="3:8" ht="14">
      <c r="C3" s="15" t="s">
        <v>39</v>
      </c>
      <c r="D3">
        <v>0</v>
      </c>
      <c r="E3">
        <v>0.01</v>
      </c>
      <c r="F3">
        <v>0.02</v>
      </c>
      <c r="G3">
        <v>0.04</v>
      </c>
      <c r="H3">
        <v>0.05</v>
      </c>
    </row>
    <row r="4" spans="3:8">
      <c r="C4" t="s">
        <v>40</v>
      </c>
      <c r="D4" s="3">
        <v>4.9000000000000002E-2</v>
      </c>
      <c r="E4" s="2">
        <v>0.15</v>
      </c>
      <c r="F4" s="9">
        <v>0.254</v>
      </c>
      <c r="G4" s="8">
        <v>0.46899999999999997</v>
      </c>
      <c r="H4" s="4">
        <v>0.59099999999999997</v>
      </c>
    </row>
    <row r="30" spans="1:32" ht="14">
      <c r="T30" s="22"/>
    </row>
    <row r="31" spans="1:32">
      <c r="C31" t="s">
        <v>28</v>
      </c>
      <c r="D31" t="s">
        <v>85</v>
      </c>
      <c r="E31" t="s">
        <v>84</v>
      </c>
      <c r="F31" t="s">
        <v>83</v>
      </c>
      <c r="G31" t="s">
        <v>15</v>
      </c>
      <c r="H31" t="s">
        <v>82</v>
      </c>
      <c r="I31" t="s">
        <v>81</v>
      </c>
      <c r="J31" t="s">
        <v>80</v>
      </c>
      <c r="K31" t="s">
        <v>79</v>
      </c>
      <c r="L31" t="s">
        <v>78</v>
      </c>
      <c r="M31" t="s">
        <v>77</v>
      </c>
      <c r="N31" t="s">
        <v>76</v>
      </c>
      <c r="O31" t="s">
        <v>75</v>
      </c>
      <c r="P31" t="s">
        <v>74</v>
      </c>
      <c r="Q31" t="s">
        <v>73</v>
      </c>
      <c r="R31" t="s">
        <v>72</v>
      </c>
      <c r="S31" t="s">
        <v>71</v>
      </c>
      <c r="T31" t="s">
        <v>145</v>
      </c>
      <c r="U31" t="s">
        <v>70</v>
      </c>
      <c r="V31" t="s">
        <v>69</v>
      </c>
      <c r="W31" t="s">
        <v>68</v>
      </c>
      <c r="X31" t="s">
        <v>67</v>
      </c>
      <c r="Y31" t="s">
        <v>66</v>
      </c>
      <c r="Z31" t="s">
        <v>65</v>
      </c>
      <c r="AA31" t="s">
        <v>64</v>
      </c>
      <c r="AB31" t="s">
        <v>63</v>
      </c>
      <c r="AC31" t="s">
        <v>62</v>
      </c>
      <c r="AD31" t="s">
        <v>61</v>
      </c>
      <c r="AE31" t="s">
        <v>60</v>
      </c>
      <c r="AF31" t="s">
        <v>59</v>
      </c>
    </row>
    <row r="32" spans="1:32" ht="14">
      <c r="A32" s="43" t="s">
        <v>29</v>
      </c>
      <c r="B32" s="12" t="s">
        <v>30</v>
      </c>
      <c r="C32" s="9">
        <v>0.16</v>
      </c>
      <c r="D32" s="11">
        <v>0.189</v>
      </c>
      <c r="E32" s="9">
        <v>0.161</v>
      </c>
      <c r="F32" s="18">
        <v>0.247</v>
      </c>
      <c r="G32" s="20">
        <v>0.34499999999999997</v>
      </c>
      <c r="H32" s="7">
        <v>0.20599999999999999</v>
      </c>
      <c r="I32" s="17">
        <v>0.23100000000000001</v>
      </c>
      <c r="J32" s="8">
        <v>0.27200000000000002</v>
      </c>
      <c r="K32" s="17">
        <v>0.218</v>
      </c>
      <c r="L32" s="8">
        <v>0.26200000000000001</v>
      </c>
      <c r="M32" s="8">
        <v>0.27400000000000002</v>
      </c>
      <c r="N32" s="20">
        <v>0.28699999999999998</v>
      </c>
      <c r="O32" s="7">
        <v>0.20599999999999999</v>
      </c>
      <c r="P32" s="18">
        <v>0.23799999999999999</v>
      </c>
      <c r="Q32" s="5">
        <v>0.317</v>
      </c>
      <c r="R32" s="17">
        <v>0.216</v>
      </c>
      <c r="S32" s="5">
        <v>0.30399999999999999</v>
      </c>
      <c r="T32" s="8">
        <v>0.27</v>
      </c>
      <c r="U32" s="18">
        <v>0.255</v>
      </c>
      <c r="V32" s="18">
        <v>0.23899999999999999</v>
      </c>
      <c r="W32" s="18">
        <v>0.24099999999999999</v>
      </c>
      <c r="X32" s="20">
        <v>0.28399999999999997</v>
      </c>
      <c r="Y32" s="18">
        <v>0.24199999999999999</v>
      </c>
      <c r="Z32" s="18">
        <v>0.252</v>
      </c>
      <c r="AA32" s="17">
        <v>0.22700000000000001</v>
      </c>
      <c r="AB32" s="18">
        <v>0.253</v>
      </c>
      <c r="AC32" s="5">
        <v>0.30299999999999999</v>
      </c>
      <c r="AD32" s="17">
        <v>0.219</v>
      </c>
      <c r="AE32" s="20">
        <v>0.27700000000000002</v>
      </c>
      <c r="AF32" s="4">
        <v>0.33200000000000002</v>
      </c>
    </row>
    <row r="33" spans="1:32" ht="14">
      <c r="A33" s="43"/>
      <c r="B33" s="12" t="s">
        <v>31</v>
      </c>
      <c r="C33" s="10">
        <v>0.14499999999999999</v>
      </c>
      <c r="D33" s="7">
        <v>0.20799999999999999</v>
      </c>
      <c r="E33" s="10">
        <v>0.14799999999999999</v>
      </c>
      <c r="F33" s="17">
        <v>0.224</v>
      </c>
      <c r="G33" s="5">
        <v>0.35199999999999998</v>
      </c>
      <c r="H33" s="17">
        <v>0.216</v>
      </c>
      <c r="I33" s="17">
        <v>0.22700000000000001</v>
      </c>
      <c r="J33" s="8">
        <v>0.25700000000000001</v>
      </c>
      <c r="K33" s="7">
        <v>0.20599999999999999</v>
      </c>
      <c r="L33" s="18">
        <v>0.246</v>
      </c>
      <c r="M33" s="8">
        <v>0.26</v>
      </c>
      <c r="N33" s="20">
        <v>0.28599999999999998</v>
      </c>
      <c r="O33" s="7">
        <v>0.2</v>
      </c>
      <c r="P33" s="8">
        <v>0.25800000000000001</v>
      </c>
      <c r="Q33" s="5">
        <v>0.29799999999999999</v>
      </c>
      <c r="R33" s="17">
        <v>0.22500000000000001</v>
      </c>
      <c r="S33" s="5">
        <v>0.314</v>
      </c>
      <c r="T33" s="8">
        <v>0.27100000000000002</v>
      </c>
      <c r="U33" s="8">
        <v>0.26800000000000002</v>
      </c>
      <c r="V33" s="18">
        <v>0.245</v>
      </c>
      <c r="W33" s="18">
        <v>0.248</v>
      </c>
      <c r="X33" s="20">
        <v>0.28999999999999998</v>
      </c>
      <c r="Y33" s="18">
        <v>0.247</v>
      </c>
      <c r="Z33" s="8">
        <v>0.25600000000000001</v>
      </c>
      <c r="AA33" s="17">
        <v>0.215</v>
      </c>
      <c r="AB33" s="8">
        <v>0.26600000000000001</v>
      </c>
      <c r="AC33" s="4">
        <v>0.32</v>
      </c>
      <c r="AD33" s="17">
        <v>0.22700000000000001</v>
      </c>
      <c r="AE33" s="8">
        <v>0.26200000000000001</v>
      </c>
      <c r="AF33" s="4">
        <v>0.33800000000000002</v>
      </c>
    </row>
    <row r="34" spans="1:32" ht="14">
      <c r="A34" s="42" t="s">
        <v>32</v>
      </c>
      <c r="B34" s="12" t="s">
        <v>30</v>
      </c>
      <c r="C34" s="21">
        <f t="shared" ref="C34:AF34" si="0">(C32-0.0434)/10.801*100</f>
        <v>1.0795296731784094</v>
      </c>
      <c r="D34" s="21">
        <f t="shared" si="0"/>
        <v>1.3480233311730396</v>
      </c>
      <c r="E34" s="21">
        <f t="shared" si="0"/>
        <v>1.0887880751782244</v>
      </c>
      <c r="F34" s="21">
        <f t="shared" si="0"/>
        <v>1.8850106471623</v>
      </c>
      <c r="G34" s="21">
        <f t="shared" si="0"/>
        <v>2.792334043144153</v>
      </c>
      <c r="H34" s="21">
        <f t="shared" si="0"/>
        <v>1.5054161651698916</v>
      </c>
      <c r="I34" s="21">
        <f t="shared" si="0"/>
        <v>1.7368762151652628</v>
      </c>
      <c r="J34" s="21">
        <f t="shared" si="0"/>
        <v>2.1164706971576708</v>
      </c>
      <c r="K34" s="21">
        <f t="shared" si="0"/>
        <v>1.6165169891676698</v>
      </c>
      <c r="L34" s="21">
        <f t="shared" si="0"/>
        <v>2.0238866771595223</v>
      </c>
      <c r="M34" s="21">
        <f t="shared" si="0"/>
        <v>2.1349875011573003</v>
      </c>
      <c r="N34" s="21">
        <f t="shared" si="0"/>
        <v>2.255346727154893</v>
      </c>
      <c r="O34" s="21">
        <f t="shared" si="0"/>
        <v>1.5054161651698916</v>
      </c>
      <c r="P34" s="21">
        <f t="shared" si="0"/>
        <v>1.8016850291639661</v>
      </c>
      <c r="Q34" s="21">
        <f t="shared" si="0"/>
        <v>2.533098787149338</v>
      </c>
      <c r="R34" s="21">
        <f t="shared" si="0"/>
        <v>1.5980001851680401</v>
      </c>
      <c r="S34" s="21">
        <f t="shared" si="0"/>
        <v>2.4127395611517453</v>
      </c>
      <c r="T34" s="21">
        <f t="shared" si="0"/>
        <v>2.0979538931580413</v>
      </c>
      <c r="U34" s="21">
        <f t="shared" si="0"/>
        <v>1.9590778631608186</v>
      </c>
      <c r="V34" s="21">
        <f t="shared" si="0"/>
        <v>1.8109434311637811</v>
      </c>
      <c r="W34" s="21">
        <f t="shared" si="0"/>
        <v>1.8294602351634108</v>
      </c>
      <c r="X34" s="21">
        <f t="shared" si="0"/>
        <v>2.2275715211554483</v>
      </c>
      <c r="Y34" s="21">
        <f t="shared" si="0"/>
        <v>1.8387186371632256</v>
      </c>
      <c r="Z34" s="21">
        <f t="shared" si="0"/>
        <v>1.9313026571613738</v>
      </c>
      <c r="AA34" s="21">
        <f t="shared" si="0"/>
        <v>1.6998426071660033</v>
      </c>
      <c r="AB34" s="21">
        <f t="shared" si="0"/>
        <v>1.9405610591611888</v>
      </c>
      <c r="AC34" s="21">
        <f t="shared" si="0"/>
        <v>2.4034811591519301</v>
      </c>
      <c r="AD34" s="21">
        <f t="shared" si="0"/>
        <v>1.6257753911674846</v>
      </c>
      <c r="AE34" s="21">
        <f t="shared" si="0"/>
        <v>2.162762707156745</v>
      </c>
      <c r="AF34" s="21">
        <f t="shared" si="0"/>
        <v>2.6719748171465607</v>
      </c>
    </row>
    <row r="35" spans="1:32" ht="14">
      <c r="A35" s="42"/>
      <c r="B35" s="12" t="s">
        <v>31</v>
      </c>
      <c r="C35" s="21">
        <f t="shared" ref="C35:AF35" si="1">(C33-0.0434)/10.801*100</f>
        <v>0.94065364318118694</v>
      </c>
      <c r="D35" s="21">
        <f t="shared" si="1"/>
        <v>1.5239329691695214</v>
      </c>
      <c r="E35" s="21">
        <f t="shared" si="1"/>
        <v>0.96842884918063132</v>
      </c>
      <c r="F35" s="21">
        <f t="shared" si="1"/>
        <v>1.6720674011665586</v>
      </c>
      <c r="G35" s="21">
        <f t="shared" si="1"/>
        <v>2.8571428571428572</v>
      </c>
      <c r="H35" s="21">
        <f t="shared" si="1"/>
        <v>1.5980001851680401</v>
      </c>
      <c r="I35" s="21">
        <f t="shared" si="1"/>
        <v>1.6998426071660033</v>
      </c>
      <c r="J35" s="21">
        <f t="shared" si="1"/>
        <v>1.9775946671604483</v>
      </c>
      <c r="K35" s="21">
        <f t="shared" si="1"/>
        <v>1.5054161651698916</v>
      </c>
      <c r="L35" s="21">
        <f t="shared" si="1"/>
        <v>1.8757522451624851</v>
      </c>
      <c r="M35" s="21">
        <f t="shared" si="1"/>
        <v>2.0053698731598923</v>
      </c>
      <c r="N35" s="21">
        <f t="shared" si="1"/>
        <v>2.2460883251550783</v>
      </c>
      <c r="O35" s="21">
        <f t="shared" si="1"/>
        <v>1.4498657531710029</v>
      </c>
      <c r="P35" s="21">
        <f t="shared" si="1"/>
        <v>1.9868530691602633</v>
      </c>
      <c r="Q35" s="21">
        <f t="shared" si="1"/>
        <v>2.3571891491528563</v>
      </c>
      <c r="R35" s="21">
        <f t="shared" si="1"/>
        <v>1.6813258031663736</v>
      </c>
      <c r="S35" s="21">
        <f t="shared" si="1"/>
        <v>2.5053235811498933</v>
      </c>
      <c r="T35" s="21">
        <f t="shared" si="1"/>
        <v>2.107212295157856</v>
      </c>
      <c r="U35" s="21">
        <f t="shared" si="1"/>
        <v>2.0794370891584113</v>
      </c>
      <c r="V35" s="21">
        <f t="shared" si="1"/>
        <v>1.8664938431626703</v>
      </c>
      <c r="W35" s="21">
        <f t="shared" si="1"/>
        <v>1.8942690491621144</v>
      </c>
      <c r="X35" s="21">
        <f t="shared" si="1"/>
        <v>2.2831219331543373</v>
      </c>
      <c r="Y35" s="21">
        <f t="shared" si="1"/>
        <v>1.8850106471623</v>
      </c>
      <c r="Z35" s="21">
        <f t="shared" si="1"/>
        <v>1.9683362651606333</v>
      </c>
      <c r="AA35" s="21">
        <f t="shared" si="1"/>
        <v>1.5887417831682251</v>
      </c>
      <c r="AB35" s="21">
        <f t="shared" si="1"/>
        <v>2.0609202851587818</v>
      </c>
      <c r="AC35" s="21">
        <f t="shared" si="1"/>
        <v>2.5608739931487827</v>
      </c>
      <c r="AD35" s="21">
        <f t="shared" si="1"/>
        <v>1.6998426071660033</v>
      </c>
      <c r="AE35" s="21">
        <f t="shared" si="1"/>
        <v>2.0238866771595223</v>
      </c>
      <c r="AF35" s="21">
        <f t="shared" si="1"/>
        <v>2.7275252291454497</v>
      </c>
    </row>
    <row r="36" spans="1:32" ht="14">
      <c r="A36" s="42" t="s">
        <v>33</v>
      </c>
      <c r="B36" s="12" t="s">
        <v>30</v>
      </c>
      <c r="D36">
        <f t="shared" ref="D36:AF36" si="2">D34-1.07953</f>
        <v>0.26849333117303953</v>
      </c>
      <c r="E36">
        <f t="shared" si="2"/>
        <v>9.2580751782243009E-3</v>
      </c>
      <c r="F36">
        <f t="shared" si="2"/>
        <v>0.80548064716229995</v>
      </c>
      <c r="G36">
        <f t="shared" si="2"/>
        <v>1.7128040431441529</v>
      </c>
      <c r="H36">
        <f t="shared" si="2"/>
        <v>0.42588616516989153</v>
      </c>
      <c r="I36">
        <f t="shared" si="2"/>
        <v>0.6573462151652627</v>
      </c>
      <c r="J36">
        <f t="shared" si="2"/>
        <v>1.0369406971576707</v>
      </c>
      <c r="K36">
        <f t="shared" si="2"/>
        <v>0.53698698916766974</v>
      </c>
      <c r="L36">
        <f t="shared" si="2"/>
        <v>0.94435667715952221</v>
      </c>
      <c r="M36">
        <f t="shared" si="2"/>
        <v>1.0554575011573002</v>
      </c>
      <c r="N36">
        <f t="shared" si="2"/>
        <v>1.1758167271548929</v>
      </c>
      <c r="O36">
        <f t="shared" si="2"/>
        <v>0.42588616516989153</v>
      </c>
      <c r="P36">
        <f t="shared" si="2"/>
        <v>0.72215502916396601</v>
      </c>
      <c r="Q36">
        <f t="shared" si="2"/>
        <v>1.4535687871493379</v>
      </c>
      <c r="R36">
        <f t="shared" si="2"/>
        <v>0.51847018516804</v>
      </c>
      <c r="S36">
        <f t="shared" si="2"/>
        <v>1.3332095611517452</v>
      </c>
      <c r="T36">
        <f t="shared" si="2"/>
        <v>1.0184238931580412</v>
      </c>
      <c r="U36">
        <f t="shared" si="2"/>
        <v>0.87954786316081845</v>
      </c>
      <c r="V36">
        <f t="shared" si="2"/>
        <v>0.73141343116378099</v>
      </c>
      <c r="W36">
        <f t="shared" si="2"/>
        <v>0.74993023516341073</v>
      </c>
      <c r="X36">
        <f t="shared" si="2"/>
        <v>1.1480415211554482</v>
      </c>
      <c r="Y36">
        <f t="shared" si="2"/>
        <v>0.75918863716322549</v>
      </c>
      <c r="Z36">
        <f t="shared" si="2"/>
        <v>0.85177265716137374</v>
      </c>
      <c r="AA36">
        <f t="shared" si="2"/>
        <v>0.62031260716600323</v>
      </c>
      <c r="AB36">
        <f t="shared" si="2"/>
        <v>0.86103105916118872</v>
      </c>
      <c r="AC36">
        <f t="shared" si="2"/>
        <v>1.32395115915193</v>
      </c>
      <c r="AD36">
        <f t="shared" si="2"/>
        <v>0.5462453911674845</v>
      </c>
      <c r="AE36">
        <f t="shared" si="2"/>
        <v>1.0832327071567449</v>
      </c>
      <c r="AF36">
        <f t="shared" si="2"/>
        <v>1.5924448171465606</v>
      </c>
    </row>
    <row r="37" spans="1:32" ht="14">
      <c r="A37" s="42"/>
      <c r="B37" s="12" t="s">
        <v>31</v>
      </c>
      <c r="D37">
        <f t="shared" ref="D37:AF37" si="3">D35-0.940654</f>
        <v>0.58327896916952138</v>
      </c>
      <c r="E37">
        <f t="shared" si="3"/>
        <v>2.7774849180631334E-2</v>
      </c>
      <c r="F37">
        <f t="shared" si="3"/>
        <v>0.73141340116655862</v>
      </c>
      <c r="G37">
        <f t="shared" si="3"/>
        <v>1.9164888571428573</v>
      </c>
      <c r="H37">
        <f t="shared" si="3"/>
        <v>0.65734618516804011</v>
      </c>
      <c r="I37">
        <f t="shared" si="3"/>
        <v>0.75918860716600334</v>
      </c>
      <c r="J37">
        <f t="shared" si="3"/>
        <v>1.0369406671604482</v>
      </c>
      <c r="K37">
        <f t="shared" si="3"/>
        <v>0.56476216516989164</v>
      </c>
      <c r="L37">
        <f t="shared" si="3"/>
        <v>0.93509824516248508</v>
      </c>
      <c r="M37">
        <f t="shared" si="3"/>
        <v>1.0647158731598925</v>
      </c>
      <c r="N37">
        <f t="shared" si="3"/>
        <v>1.3054343251550784</v>
      </c>
      <c r="O37">
        <f t="shared" si="3"/>
        <v>0.50921175317100287</v>
      </c>
      <c r="P37">
        <f t="shared" si="3"/>
        <v>1.0461990691602634</v>
      </c>
      <c r="Q37">
        <f t="shared" si="3"/>
        <v>1.4165351491528564</v>
      </c>
      <c r="R37">
        <f t="shared" si="3"/>
        <v>0.7406718031663736</v>
      </c>
      <c r="S37">
        <f t="shared" si="3"/>
        <v>1.5646695811498934</v>
      </c>
      <c r="T37">
        <f t="shared" si="3"/>
        <v>1.1665582951578561</v>
      </c>
      <c r="U37">
        <f t="shared" si="3"/>
        <v>1.1387830891584114</v>
      </c>
      <c r="V37">
        <f t="shared" si="3"/>
        <v>0.92583984316267032</v>
      </c>
      <c r="W37">
        <f t="shared" si="3"/>
        <v>0.95361504916211437</v>
      </c>
      <c r="X37">
        <f t="shared" si="3"/>
        <v>1.3424679331543374</v>
      </c>
      <c r="Y37">
        <f t="shared" si="3"/>
        <v>0.94435664716230006</v>
      </c>
      <c r="Z37">
        <f t="shared" si="3"/>
        <v>1.0276822651606334</v>
      </c>
      <c r="AA37">
        <f t="shared" si="3"/>
        <v>0.64808778316822513</v>
      </c>
      <c r="AB37">
        <f t="shared" si="3"/>
        <v>1.1202662851587819</v>
      </c>
      <c r="AC37">
        <f t="shared" si="3"/>
        <v>1.6202199931487828</v>
      </c>
      <c r="AD37">
        <f t="shared" si="3"/>
        <v>0.75918860716600334</v>
      </c>
      <c r="AE37">
        <f t="shared" si="3"/>
        <v>1.0832326771595224</v>
      </c>
      <c r="AF37">
        <f t="shared" si="3"/>
        <v>1.7868712291454498</v>
      </c>
    </row>
    <row r="38" spans="1:32" ht="14">
      <c r="A38" s="42" t="s">
        <v>34</v>
      </c>
      <c r="B38" s="12" t="s">
        <v>30</v>
      </c>
      <c r="C38" s="21"/>
      <c r="D38" s="21">
        <f t="shared" ref="D38:AF38" si="4">D36/342.3*1000000</f>
        <v>784.38016702611606</v>
      </c>
      <c r="E38" s="21">
        <f t="shared" si="4"/>
        <v>27.046670108747595</v>
      </c>
      <c r="F38" s="21">
        <f t="shared" si="4"/>
        <v>2353.1424106406657</v>
      </c>
      <c r="G38" s="21">
        <f t="shared" si="4"/>
        <v>5003.8096498514542</v>
      </c>
      <c r="H38" s="21">
        <f t="shared" si="4"/>
        <v>1244.1897901545178</v>
      </c>
      <c r="I38" s="21">
        <f t="shared" si="4"/>
        <v>1920.3804124021697</v>
      </c>
      <c r="J38" s="21">
        <f t="shared" si="4"/>
        <v>3029.3330328883162</v>
      </c>
      <c r="K38" s="21">
        <f t="shared" si="4"/>
        <v>1568.7612888333908</v>
      </c>
      <c r="L38" s="21">
        <f t="shared" si="4"/>
        <v>2758.8567839892557</v>
      </c>
      <c r="M38" s="21">
        <f t="shared" si="4"/>
        <v>3083.4282826681278</v>
      </c>
      <c r="N38" s="21">
        <f t="shared" si="4"/>
        <v>3435.0474062369058</v>
      </c>
      <c r="O38" s="21">
        <f t="shared" si="4"/>
        <v>1244.1897901545178</v>
      </c>
      <c r="P38" s="21">
        <f t="shared" si="4"/>
        <v>2109.7137866315106</v>
      </c>
      <c r="Q38" s="21">
        <f t="shared" si="4"/>
        <v>4246.4761529340867</v>
      </c>
      <c r="R38" s="21">
        <f t="shared" si="4"/>
        <v>1514.6660390535787</v>
      </c>
      <c r="S38" s="21">
        <f t="shared" si="4"/>
        <v>3894.8570293653088</v>
      </c>
      <c r="T38" s="21">
        <f t="shared" si="4"/>
        <v>2975.2377831085046</v>
      </c>
      <c r="U38" s="21">
        <f t="shared" si="4"/>
        <v>2569.5234097599136</v>
      </c>
      <c r="V38" s="21">
        <f t="shared" si="4"/>
        <v>2136.7614115214169</v>
      </c>
      <c r="W38" s="21">
        <f t="shared" si="4"/>
        <v>2190.856661301229</v>
      </c>
      <c r="X38" s="21">
        <f t="shared" si="4"/>
        <v>3353.9045315671874</v>
      </c>
      <c r="Y38" s="21">
        <f t="shared" si="4"/>
        <v>2217.9042861911348</v>
      </c>
      <c r="Z38" s="21">
        <f t="shared" si="4"/>
        <v>2488.3805350901948</v>
      </c>
      <c r="AA38" s="21">
        <f t="shared" si="4"/>
        <v>1812.189912842545</v>
      </c>
      <c r="AB38" s="21">
        <f t="shared" si="4"/>
        <v>2515.4281599801011</v>
      </c>
      <c r="AC38" s="21">
        <f t="shared" si="4"/>
        <v>3867.8094044754012</v>
      </c>
      <c r="AD38" s="21">
        <f t="shared" si="4"/>
        <v>1595.8089137232967</v>
      </c>
      <c r="AE38" s="21">
        <f t="shared" si="4"/>
        <v>3164.5711573378467</v>
      </c>
      <c r="AF38" s="21">
        <f t="shared" si="4"/>
        <v>4652.1905262826776</v>
      </c>
    </row>
    <row r="39" spans="1:32" ht="14">
      <c r="A39" s="42"/>
      <c r="B39" s="12" t="s">
        <v>31</v>
      </c>
      <c r="C39" s="21"/>
      <c r="D39" s="21">
        <f t="shared" ref="D39:AF39" si="5">D37/342.3*1000000</f>
        <v>1703.9993256486161</v>
      </c>
      <c r="E39" s="21">
        <f t="shared" si="5"/>
        <v>81.141832254254552</v>
      </c>
      <c r="F39" s="21">
        <f t="shared" si="5"/>
        <v>2136.7613238871127</v>
      </c>
      <c r="G39" s="21">
        <f t="shared" si="5"/>
        <v>5598.8573097950839</v>
      </c>
      <c r="H39" s="21">
        <f t="shared" si="5"/>
        <v>1920.3803247678647</v>
      </c>
      <c r="I39" s="21">
        <f t="shared" si="5"/>
        <v>2217.9041985568315</v>
      </c>
      <c r="J39" s="21">
        <f t="shared" si="5"/>
        <v>3029.3329452540115</v>
      </c>
      <c r="K39" s="21">
        <f t="shared" si="5"/>
        <v>1649.9040758688041</v>
      </c>
      <c r="L39" s="21">
        <f t="shared" si="5"/>
        <v>2731.8090714650452</v>
      </c>
      <c r="M39" s="21">
        <f t="shared" si="5"/>
        <v>3110.475819923729</v>
      </c>
      <c r="N39" s="21">
        <f t="shared" si="5"/>
        <v>3813.7140670612862</v>
      </c>
      <c r="O39" s="21">
        <f t="shared" si="5"/>
        <v>1487.6183265293685</v>
      </c>
      <c r="P39" s="21">
        <f t="shared" si="5"/>
        <v>3056.3805701439187</v>
      </c>
      <c r="Q39" s="21">
        <f t="shared" si="5"/>
        <v>4138.2855657401587</v>
      </c>
      <c r="R39" s="21">
        <f t="shared" si="5"/>
        <v>2163.8089487770189</v>
      </c>
      <c r="S39" s="21">
        <f t="shared" si="5"/>
        <v>4571.0475639786546</v>
      </c>
      <c r="T39" s="21">
        <f t="shared" si="5"/>
        <v>3407.9996937126966</v>
      </c>
      <c r="U39" s="21">
        <f t="shared" si="5"/>
        <v>3326.8568190429778</v>
      </c>
      <c r="V39" s="21">
        <f t="shared" si="5"/>
        <v>2704.7614465751399</v>
      </c>
      <c r="W39" s="21">
        <f t="shared" si="5"/>
        <v>2785.9043212448564</v>
      </c>
      <c r="X39" s="21">
        <f t="shared" si="5"/>
        <v>3921.9045666209095</v>
      </c>
      <c r="Y39" s="21">
        <f t="shared" si="5"/>
        <v>2758.856696354952</v>
      </c>
      <c r="Z39" s="21">
        <f t="shared" si="5"/>
        <v>3002.2853203641057</v>
      </c>
      <c r="AA39" s="21">
        <f t="shared" si="5"/>
        <v>1893.3326998779582</v>
      </c>
      <c r="AB39" s="21">
        <f t="shared" si="5"/>
        <v>3272.7615692631666</v>
      </c>
      <c r="AC39" s="21">
        <f t="shared" si="5"/>
        <v>4733.3333133180922</v>
      </c>
      <c r="AD39" s="21">
        <f t="shared" si="5"/>
        <v>2217.9041985568315</v>
      </c>
      <c r="AE39" s="21">
        <f t="shared" si="5"/>
        <v>3164.5710697035415</v>
      </c>
      <c r="AF39" s="21">
        <f t="shared" si="5"/>
        <v>5220.1905613364006</v>
      </c>
    </row>
    <row r="40" spans="1:32" ht="14">
      <c r="A40" s="42" t="s">
        <v>35</v>
      </c>
      <c r="B40" s="12" t="s">
        <v>30</v>
      </c>
      <c r="C40" s="21"/>
      <c r="D40" s="21">
        <f t="shared" ref="D40:AF40" si="6">(D38*0.004)/(2*10)*1000</f>
        <v>156.87603340522321</v>
      </c>
      <c r="E40" s="21">
        <f t="shared" si="6"/>
        <v>5.4093340217495189</v>
      </c>
      <c r="F40" s="21">
        <f t="shared" si="6"/>
        <v>470.62848212813316</v>
      </c>
      <c r="G40" s="21">
        <f t="shared" si="6"/>
        <v>1000.7619299702908</v>
      </c>
      <c r="H40" s="21">
        <f t="shared" si="6"/>
        <v>248.83795803090356</v>
      </c>
      <c r="I40" s="21">
        <f t="shared" si="6"/>
        <v>384.07608248043397</v>
      </c>
      <c r="J40" s="21">
        <f t="shared" si="6"/>
        <v>605.86660657766322</v>
      </c>
      <c r="K40" s="21">
        <f t="shared" si="6"/>
        <v>313.75225776667816</v>
      </c>
      <c r="L40" s="21">
        <f t="shared" si="6"/>
        <v>551.77135679785113</v>
      </c>
      <c r="M40" s="21">
        <f t="shared" si="6"/>
        <v>616.68565653362566</v>
      </c>
      <c r="N40" s="21">
        <f t="shared" si="6"/>
        <v>687.00948124738113</v>
      </c>
      <c r="O40" s="21">
        <f t="shared" si="6"/>
        <v>248.83795803090356</v>
      </c>
      <c r="P40" s="21">
        <f t="shared" si="6"/>
        <v>421.94275732630217</v>
      </c>
      <c r="Q40" s="21">
        <f t="shared" si="6"/>
        <v>849.29523058681741</v>
      </c>
      <c r="R40" s="21">
        <f t="shared" si="6"/>
        <v>302.93320781071577</v>
      </c>
      <c r="S40" s="21">
        <f t="shared" si="6"/>
        <v>778.97140587306183</v>
      </c>
      <c r="T40" s="21">
        <f t="shared" si="6"/>
        <v>595.04755662170089</v>
      </c>
      <c r="U40" s="21">
        <f t="shared" si="6"/>
        <v>513.90468195198275</v>
      </c>
      <c r="V40" s="21">
        <f t="shared" si="6"/>
        <v>427.35228230428334</v>
      </c>
      <c r="W40" s="21">
        <f t="shared" si="6"/>
        <v>438.17133226024578</v>
      </c>
      <c r="X40" s="21">
        <f t="shared" si="6"/>
        <v>670.78090631343753</v>
      </c>
      <c r="Y40" s="21">
        <f t="shared" si="6"/>
        <v>443.58085723822694</v>
      </c>
      <c r="Z40" s="21">
        <f t="shared" si="6"/>
        <v>497.67610701803898</v>
      </c>
      <c r="AA40" s="21">
        <f t="shared" si="6"/>
        <v>362.43798256850903</v>
      </c>
      <c r="AB40" s="21">
        <f t="shared" si="6"/>
        <v>503.0856319960202</v>
      </c>
      <c r="AC40" s="21">
        <f t="shared" si="6"/>
        <v>773.56188089508032</v>
      </c>
      <c r="AD40" s="21">
        <f t="shared" si="6"/>
        <v>319.16178274465932</v>
      </c>
      <c r="AE40" s="21">
        <f t="shared" si="6"/>
        <v>632.91423146756927</v>
      </c>
      <c r="AF40" s="21">
        <f t="shared" si="6"/>
        <v>930.43810525653555</v>
      </c>
    </row>
    <row r="41" spans="1:32" ht="14">
      <c r="A41" s="42"/>
      <c r="B41" s="12" t="s">
        <v>31</v>
      </c>
      <c r="C41" s="21"/>
      <c r="D41" s="21">
        <f t="shared" ref="D41:AF41" si="7">(D39*0.004)/(2*10)*1000</f>
        <v>340.79986512972323</v>
      </c>
      <c r="E41" s="21">
        <f t="shared" si="7"/>
        <v>16.228366450850913</v>
      </c>
      <c r="F41" s="21">
        <f t="shared" si="7"/>
        <v>427.35226477742248</v>
      </c>
      <c r="G41" s="21">
        <f t="shared" si="7"/>
        <v>1119.771461959017</v>
      </c>
      <c r="H41" s="21">
        <f t="shared" si="7"/>
        <v>384.07606495357294</v>
      </c>
      <c r="I41" s="21">
        <f t="shared" si="7"/>
        <v>443.58083971136637</v>
      </c>
      <c r="J41" s="21">
        <f t="shared" si="7"/>
        <v>605.86658905080242</v>
      </c>
      <c r="K41" s="21">
        <f t="shared" si="7"/>
        <v>329.98081517376085</v>
      </c>
      <c r="L41" s="21">
        <f t="shared" si="7"/>
        <v>546.36181429300905</v>
      </c>
      <c r="M41" s="21">
        <f t="shared" si="7"/>
        <v>622.0951639847458</v>
      </c>
      <c r="N41" s="21">
        <f t="shared" si="7"/>
        <v>762.74281341225719</v>
      </c>
      <c r="O41" s="21">
        <f t="shared" si="7"/>
        <v>297.52366530587369</v>
      </c>
      <c r="P41" s="21">
        <f t="shared" si="7"/>
        <v>611.2761140287837</v>
      </c>
      <c r="Q41" s="21">
        <f t="shared" si="7"/>
        <v>827.65711314803173</v>
      </c>
      <c r="R41" s="21">
        <f t="shared" si="7"/>
        <v>432.76178975540381</v>
      </c>
      <c r="S41" s="21">
        <f t="shared" si="7"/>
        <v>914.20951279573103</v>
      </c>
      <c r="T41" s="21">
        <f t="shared" si="7"/>
        <v>681.59993874253928</v>
      </c>
      <c r="U41" s="21">
        <f t="shared" si="7"/>
        <v>665.37136380859556</v>
      </c>
      <c r="V41" s="21">
        <f t="shared" si="7"/>
        <v>540.952289315028</v>
      </c>
      <c r="W41" s="21">
        <f t="shared" si="7"/>
        <v>557.18086424897126</v>
      </c>
      <c r="X41" s="21">
        <f t="shared" si="7"/>
        <v>784.38091332418196</v>
      </c>
      <c r="Y41" s="21">
        <f t="shared" si="7"/>
        <v>551.77133927099044</v>
      </c>
      <c r="Z41" s="21">
        <f t="shared" si="7"/>
        <v>600.45706407282103</v>
      </c>
      <c r="AA41" s="21">
        <f t="shared" si="7"/>
        <v>378.6665399755916</v>
      </c>
      <c r="AB41" s="21">
        <f t="shared" si="7"/>
        <v>654.55231385263335</v>
      </c>
      <c r="AC41" s="21">
        <f t="shared" si="7"/>
        <v>946.66666266361847</v>
      </c>
      <c r="AD41" s="21">
        <f t="shared" si="7"/>
        <v>443.58083971136637</v>
      </c>
      <c r="AE41" s="21">
        <f t="shared" si="7"/>
        <v>632.91421394070835</v>
      </c>
      <c r="AF41" s="21">
        <f t="shared" si="7"/>
        <v>1044.0381122672802</v>
      </c>
    </row>
    <row r="42" spans="1:32" ht="14">
      <c r="A42" s="13"/>
      <c r="B42" s="14" t="s">
        <v>36</v>
      </c>
      <c r="C42" s="14"/>
      <c r="D42" s="14">
        <f t="shared" ref="D42:AF42" si="8">AVERAGE(D40:D41)</f>
        <v>248.83794926747322</v>
      </c>
      <c r="E42" s="14">
        <f t="shared" si="8"/>
        <v>10.818850236300216</v>
      </c>
      <c r="F42" s="14">
        <f t="shared" si="8"/>
        <v>448.99037345277782</v>
      </c>
      <c r="G42" s="14">
        <f t="shared" si="8"/>
        <v>1060.266695964654</v>
      </c>
      <c r="H42" s="14">
        <f t="shared" si="8"/>
        <v>316.45701149223828</v>
      </c>
      <c r="I42" s="14">
        <f t="shared" si="8"/>
        <v>413.82846109590014</v>
      </c>
      <c r="J42" s="14">
        <f t="shared" si="8"/>
        <v>605.86659781423282</v>
      </c>
      <c r="K42" s="14">
        <f t="shared" si="8"/>
        <v>321.8665364702195</v>
      </c>
      <c r="L42" s="14">
        <f t="shared" si="8"/>
        <v>549.06658554543014</v>
      </c>
      <c r="M42" s="14">
        <f t="shared" si="8"/>
        <v>619.39041025918573</v>
      </c>
      <c r="N42" s="14">
        <f t="shared" si="8"/>
        <v>724.8761473298191</v>
      </c>
      <c r="O42" s="14">
        <f t="shared" si="8"/>
        <v>273.18081166838863</v>
      </c>
      <c r="P42" s="14">
        <f t="shared" si="8"/>
        <v>516.60943567754293</v>
      </c>
      <c r="Q42" s="14">
        <f t="shared" si="8"/>
        <v>838.47617186742457</v>
      </c>
      <c r="R42" s="14">
        <f t="shared" si="8"/>
        <v>367.84749878305979</v>
      </c>
      <c r="S42" s="14">
        <f t="shared" si="8"/>
        <v>846.59045933439643</v>
      </c>
      <c r="T42" s="14">
        <f t="shared" si="8"/>
        <v>638.32374768212003</v>
      </c>
      <c r="U42" s="14">
        <f t="shared" si="8"/>
        <v>589.6380228802891</v>
      </c>
      <c r="V42" s="14">
        <f t="shared" si="8"/>
        <v>484.15228580965567</v>
      </c>
      <c r="W42" s="14">
        <f t="shared" si="8"/>
        <v>497.67609825460852</v>
      </c>
      <c r="X42" s="14">
        <f t="shared" si="8"/>
        <v>727.58090981880969</v>
      </c>
      <c r="Y42" s="14">
        <f t="shared" si="8"/>
        <v>497.67609825460869</v>
      </c>
      <c r="Z42" s="14">
        <f t="shared" si="8"/>
        <v>549.06658554543003</v>
      </c>
      <c r="AA42" s="14">
        <f t="shared" si="8"/>
        <v>370.55226127205032</v>
      </c>
      <c r="AB42" s="14">
        <f t="shared" si="8"/>
        <v>578.81897292432677</v>
      </c>
      <c r="AC42" s="14">
        <f t="shared" si="8"/>
        <v>860.11427177934934</v>
      </c>
      <c r="AD42" s="14">
        <f t="shared" si="8"/>
        <v>381.37131122801281</v>
      </c>
      <c r="AE42" s="14">
        <f t="shared" si="8"/>
        <v>632.91422270413887</v>
      </c>
      <c r="AF42" s="14">
        <f t="shared" si="8"/>
        <v>987.23810876190782</v>
      </c>
    </row>
    <row r="43" spans="1:32" ht="14">
      <c r="A43" s="13"/>
      <c r="B43" s="14" t="s">
        <v>37</v>
      </c>
      <c r="C43" s="14"/>
      <c r="D43" s="14">
        <f t="shared" ref="D43:AF43" si="9">STDEV(D40:D41)</f>
        <v>130.05378863420745</v>
      </c>
      <c r="E43" s="14">
        <f t="shared" si="9"/>
        <v>7.6502111964947614</v>
      </c>
      <c r="F43" s="14">
        <f t="shared" si="9"/>
        <v>30.600906752790451</v>
      </c>
      <c r="G43" s="14">
        <f t="shared" si="9"/>
        <v>84.152447095065625</v>
      </c>
      <c r="H43" s="14">
        <f t="shared" si="9"/>
        <v>95.627782479850637</v>
      </c>
      <c r="I43" s="14">
        <f t="shared" si="9"/>
        <v>42.076217350851543</v>
      </c>
      <c r="J43" s="14">
        <f t="shared" si="9"/>
        <v>1.2393362125871588E-5</v>
      </c>
      <c r="K43" s="14">
        <f t="shared" si="9"/>
        <v>11.475322991423344</v>
      </c>
      <c r="L43" s="14">
        <f t="shared" si="9"/>
        <v>3.8251241882906966</v>
      </c>
      <c r="M43" s="14">
        <f t="shared" si="9"/>
        <v>3.8250994015662036</v>
      </c>
      <c r="N43" s="14">
        <f t="shared" si="9"/>
        <v>53.551552735637138</v>
      </c>
      <c r="O43" s="14">
        <f t="shared" si="9"/>
        <v>34.425993760994608</v>
      </c>
      <c r="P43" s="14">
        <f t="shared" si="9"/>
        <v>133.8789004291358</v>
      </c>
      <c r="Q43" s="14">
        <f t="shared" si="9"/>
        <v>15.300459573076248</v>
      </c>
      <c r="R43" s="14">
        <f t="shared" si="9"/>
        <v>91.802670684922504</v>
      </c>
      <c r="S43" s="14">
        <f t="shared" si="9"/>
        <v>95.627782479850779</v>
      </c>
      <c r="T43" s="14">
        <f t="shared" si="9"/>
        <v>61.201776325494116</v>
      </c>
      <c r="U43" s="14">
        <f t="shared" si="9"/>
        <v>107.10311786463662</v>
      </c>
      <c r="V43" s="14">
        <f t="shared" si="9"/>
        <v>80.327335300137122</v>
      </c>
      <c r="W43" s="14">
        <f t="shared" si="9"/>
        <v>84.152447095065511</v>
      </c>
      <c r="X43" s="14">
        <f t="shared" si="9"/>
        <v>80.327335300136724</v>
      </c>
      <c r="Y43" s="14">
        <f t="shared" si="9"/>
        <v>76.50222350520869</v>
      </c>
      <c r="Z43" s="14">
        <f t="shared" si="9"/>
        <v>72.677111710279718</v>
      </c>
      <c r="AA43" s="14">
        <f t="shared" si="9"/>
        <v>11.475322991423264</v>
      </c>
      <c r="AB43" s="14">
        <f t="shared" si="9"/>
        <v>107.10311786463608</v>
      </c>
      <c r="AC43" s="14">
        <f t="shared" si="9"/>
        <v>122.40356504435114</v>
      </c>
      <c r="AD43" s="14">
        <f t="shared" si="9"/>
        <v>87.977558889994199</v>
      </c>
      <c r="AE43" s="14">
        <f t="shared" si="9"/>
        <v>1.2393362206260322E-5</v>
      </c>
      <c r="AF43" s="14">
        <f t="shared" si="9"/>
        <v>80.327335300136895</v>
      </c>
    </row>
  </sheetData>
  <mergeCells count="5">
    <mergeCell ref="A32:A33"/>
    <mergeCell ref="A34:A35"/>
    <mergeCell ref="A36:A37"/>
    <mergeCell ref="A38:A39"/>
    <mergeCell ref="A40:A41"/>
  </mergeCells>
  <phoneticPr fontId="8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F39"/>
  <sheetViews>
    <sheetView topLeftCell="A3" workbookViewId="0">
      <selection activeCell="D30" sqref="D30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3" spans="3:8" ht="14">
      <c r="C3" s="15" t="s">
        <v>39</v>
      </c>
      <c r="D3">
        <v>0</v>
      </c>
      <c r="E3">
        <v>0.02</v>
      </c>
      <c r="F3">
        <v>0.04</v>
      </c>
      <c r="G3">
        <v>0.06</v>
      </c>
      <c r="H3">
        <v>0.08</v>
      </c>
    </row>
    <row r="4" spans="3:8">
      <c r="C4" t="s">
        <v>40</v>
      </c>
      <c r="D4" s="3">
        <v>6.6000000000000003E-2</v>
      </c>
      <c r="E4" s="6">
        <v>0.28999999999999998</v>
      </c>
      <c r="F4" s="7">
        <v>0.52900000000000003</v>
      </c>
      <c r="G4" s="8">
        <v>0.76100000000000001</v>
      </c>
      <c r="H4" s="4">
        <v>0.97699999999999998</v>
      </c>
    </row>
    <row r="26" spans="1:32">
      <c r="Q26" s="15"/>
    </row>
    <row r="27" spans="1:32">
      <c r="C27" t="s">
        <v>28</v>
      </c>
      <c r="D27" t="s">
        <v>38</v>
      </c>
      <c r="E27" t="s">
        <v>0</v>
      </c>
      <c r="F27" t="s">
        <v>143</v>
      </c>
      <c r="G27" t="s">
        <v>2</v>
      </c>
      <c r="H27" t="s">
        <v>3</v>
      </c>
      <c r="I27" t="s">
        <v>4</v>
      </c>
      <c r="J27" t="s">
        <v>5</v>
      </c>
      <c r="K27" t="s">
        <v>6</v>
      </c>
      <c r="L27" t="s">
        <v>7</v>
      </c>
      <c r="M27" t="s">
        <v>8</v>
      </c>
      <c r="N27" t="s">
        <v>9</v>
      </c>
      <c r="O27" t="s">
        <v>10</v>
      </c>
      <c r="P27" t="s">
        <v>11</v>
      </c>
      <c r="Q27" t="s">
        <v>12</v>
      </c>
      <c r="R27" t="s">
        <v>13</v>
      </c>
      <c r="S27" t="s">
        <v>14</v>
      </c>
      <c r="T27" t="s">
        <v>15</v>
      </c>
      <c r="U27" t="s">
        <v>16</v>
      </c>
      <c r="V27" t="s">
        <v>17</v>
      </c>
      <c r="W27" t="s">
        <v>18</v>
      </c>
      <c r="X27" t="s">
        <v>19</v>
      </c>
      <c r="Y27" t="s">
        <v>20</v>
      </c>
      <c r="Z27" t="s">
        <v>21</v>
      </c>
      <c r="AA27" t="s">
        <v>22</v>
      </c>
      <c r="AB27" t="s">
        <v>23</v>
      </c>
      <c r="AC27" t="s">
        <v>24</v>
      </c>
      <c r="AD27" t="s">
        <v>25</v>
      </c>
      <c r="AE27" t="s">
        <v>26</v>
      </c>
      <c r="AF27" t="s">
        <v>27</v>
      </c>
    </row>
    <row r="28" spans="1:32" ht="14">
      <c r="A28" s="43" t="s">
        <v>29</v>
      </c>
      <c r="B28" s="12" t="s">
        <v>30</v>
      </c>
      <c r="C28" s="16">
        <v>0.28899999999999998</v>
      </c>
      <c r="D28" s="16">
        <v>0.38</v>
      </c>
      <c r="E28" s="16">
        <v>0.38800000000000001</v>
      </c>
      <c r="F28" s="16">
        <v>0.32300000000000001</v>
      </c>
      <c r="G28" s="16">
        <v>0.38300000000000001</v>
      </c>
      <c r="H28" s="16">
        <v>0.38800000000000001</v>
      </c>
      <c r="I28" s="16">
        <v>0.44400000000000001</v>
      </c>
      <c r="J28" s="16">
        <v>0.434</v>
      </c>
      <c r="K28" s="16">
        <v>0.34799999999999998</v>
      </c>
      <c r="L28" s="16">
        <v>0.38700000000000001</v>
      </c>
      <c r="M28" s="16">
        <v>0.44</v>
      </c>
      <c r="N28" s="16">
        <v>0.4</v>
      </c>
      <c r="O28" s="16">
        <v>0.42699999999999999</v>
      </c>
      <c r="P28" s="16">
        <v>0.43</v>
      </c>
      <c r="Q28" s="16">
        <v>0.39200000000000002</v>
      </c>
      <c r="R28" s="16">
        <v>0.40200000000000002</v>
      </c>
      <c r="S28" s="16">
        <v>0.32200000000000001</v>
      </c>
      <c r="T28" s="16">
        <v>0.503</v>
      </c>
      <c r="U28" s="16">
        <v>0.39400000000000002</v>
      </c>
      <c r="V28" s="16">
        <v>0.45500000000000002</v>
      </c>
      <c r="W28" s="16">
        <v>0.46200000000000002</v>
      </c>
      <c r="X28" s="16">
        <v>0.437</v>
      </c>
      <c r="Y28" s="16">
        <v>0.36299999999999999</v>
      </c>
      <c r="Z28" s="16">
        <v>0.40100000000000002</v>
      </c>
      <c r="AA28" s="16">
        <v>0.38800000000000001</v>
      </c>
      <c r="AB28" s="16">
        <v>0.377</v>
      </c>
      <c r="AC28" s="16">
        <v>0.316</v>
      </c>
      <c r="AD28" s="16">
        <v>0.33800000000000002</v>
      </c>
      <c r="AE28" s="16">
        <v>0.41899999999999998</v>
      </c>
      <c r="AF28" s="16">
        <v>0.39500000000000002</v>
      </c>
    </row>
    <row r="29" spans="1:32" ht="14">
      <c r="A29" s="43"/>
      <c r="B29" s="12" t="s">
        <v>31</v>
      </c>
      <c r="C29" s="16">
        <v>0.29099999999999998</v>
      </c>
      <c r="D29" s="16">
        <v>0.35299999999999998</v>
      </c>
      <c r="E29" s="16">
        <v>0.39600000000000002</v>
      </c>
      <c r="F29" s="16">
        <v>0.33100000000000002</v>
      </c>
      <c r="G29" s="16">
        <v>0.38300000000000001</v>
      </c>
      <c r="H29" s="16">
        <v>0.42199999999999999</v>
      </c>
      <c r="I29" s="16">
        <v>0.40300000000000002</v>
      </c>
      <c r="J29" s="16">
        <v>0.40500000000000003</v>
      </c>
      <c r="K29" s="16">
        <v>0.35299999999999998</v>
      </c>
      <c r="L29" s="16">
        <v>0.40899999999999997</v>
      </c>
      <c r="M29" s="16">
        <v>0.36599999999999999</v>
      </c>
      <c r="N29" s="16">
        <v>0.45500000000000002</v>
      </c>
      <c r="O29" s="16">
        <v>0.41599999999999998</v>
      </c>
      <c r="P29" s="16">
        <v>0.43</v>
      </c>
      <c r="Q29" s="16">
        <v>0.38</v>
      </c>
      <c r="R29" s="16">
        <v>0.4</v>
      </c>
      <c r="S29" s="16">
        <v>0.32400000000000001</v>
      </c>
      <c r="T29" s="16">
        <v>0.497</v>
      </c>
      <c r="U29" s="16">
        <v>0.38500000000000001</v>
      </c>
      <c r="V29" s="16">
        <v>0.41399999999999998</v>
      </c>
      <c r="W29" s="16">
        <v>0.435</v>
      </c>
      <c r="X29" s="16">
        <v>0.44</v>
      </c>
      <c r="Y29" s="16">
        <v>0.33100000000000002</v>
      </c>
      <c r="Z29" s="16">
        <v>0.44600000000000001</v>
      </c>
      <c r="AA29" s="16">
        <v>0.34799999999999998</v>
      </c>
      <c r="AB29" s="16">
        <v>0.41</v>
      </c>
      <c r="AC29" s="16">
        <v>0.36199999999999999</v>
      </c>
      <c r="AD29" s="16">
        <v>0.33</v>
      </c>
      <c r="AE29" s="16">
        <v>0.38900000000000001</v>
      </c>
      <c r="AF29" s="16">
        <v>0.40699999999999997</v>
      </c>
    </row>
    <row r="30" spans="1:32" ht="14">
      <c r="A30" s="42" t="s">
        <v>32</v>
      </c>
      <c r="B30" s="12" t="s">
        <v>30</v>
      </c>
      <c r="C30">
        <f>(C28-0.066)/11.46*100</f>
        <v>1.945898778359511</v>
      </c>
      <c r="D30">
        <f>(D28-0.066)/11.46*100</f>
        <v>2.7399650959860384</v>
      </c>
      <c r="E30">
        <f t="shared" ref="E30:O30" si="0">(E28-0.066)/11.46*100</f>
        <v>2.8097731239092494</v>
      </c>
      <c r="F30">
        <f t="shared" si="0"/>
        <v>2.2425828970331589</v>
      </c>
      <c r="G30">
        <f t="shared" si="0"/>
        <v>2.7661431064572426</v>
      </c>
      <c r="H30">
        <f t="shared" si="0"/>
        <v>2.8097731239092494</v>
      </c>
      <c r="I30">
        <f t="shared" si="0"/>
        <v>3.2984293193717278</v>
      </c>
      <c r="J30">
        <f t="shared" si="0"/>
        <v>3.2111692844677138</v>
      </c>
      <c r="K30">
        <f t="shared" si="0"/>
        <v>2.4607329842931933</v>
      </c>
      <c r="L30">
        <f t="shared" si="0"/>
        <v>2.8010471204188478</v>
      </c>
      <c r="M30">
        <f t="shared" si="0"/>
        <v>3.2635253054101221</v>
      </c>
      <c r="N30">
        <f t="shared" si="0"/>
        <v>2.9144851657940665</v>
      </c>
      <c r="O30">
        <f t="shared" si="0"/>
        <v>3.1500872600349035</v>
      </c>
      <c r="P30">
        <f t="shared" ref="P30:AA30" si="1">(P28-0.066)/11.46*100</f>
        <v>3.1762652705061081</v>
      </c>
      <c r="Q30">
        <f t="shared" si="1"/>
        <v>2.8446771378708551</v>
      </c>
      <c r="R30">
        <f t="shared" si="1"/>
        <v>2.9319371727748691</v>
      </c>
      <c r="S30">
        <f t="shared" si="1"/>
        <v>2.2338568935427574</v>
      </c>
      <c r="T30">
        <f t="shared" si="1"/>
        <v>3.8132635253054095</v>
      </c>
      <c r="U30">
        <f t="shared" si="1"/>
        <v>2.8621291448516577</v>
      </c>
      <c r="V30">
        <f t="shared" si="1"/>
        <v>3.3944153577661429</v>
      </c>
      <c r="W30">
        <f t="shared" si="1"/>
        <v>3.4554973821989527</v>
      </c>
      <c r="X30">
        <f t="shared" si="1"/>
        <v>3.2373472949389179</v>
      </c>
      <c r="Y30">
        <f t="shared" si="1"/>
        <v>2.5916230366492146</v>
      </c>
      <c r="Z30">
        <f t="shared" si="1"/>
        <v>2.9232111692844676</v>
      </c>
      <c r="AA30">
        <f t="shared" si="1"/>
        <v>2.8097731239092494</v>
      </c>
      <c r="AB30">
        <f t="shared" ref="AB30:AF30" si="2">(AB28-0.066)/11.46*100</f>
        <v>2.7137870855148338</v>
      </c>
      <c r="AC30">
        <f t="shared" si="2"/>
        <v>2.1815008726003491</v>
      </c>
      <c r="AD30">
        <f t="shared" si="2"/>
        <v>2.3734729493891797</v>
      </c>
      <c r="AE30">
        <f t="shared" si="2"/>
        <v>3.0802792321116925</v>
      </c>
      <c r="AF30">
        <f t="shared" si="2"/>
        <v>2.8708551483420592</v>
      </c>
    </row>
    <row r="31" spans="1:32" ht="14">
      <c r="A31" s="42"/>
      <c r="B31" s="12" t="s">
        <v>31</v>
      </c>
      <c r="C31">
        <f>(C29-0.066)/11.46*100</f>
        <v>1.9633507853403138</v>
      </c>
      <c r="D31">
        <f>(D29-0.066)/11.46*100</f>
        <v>2.5043630017452001</v>
      </c>
      <c r="E31">
        <f t="shared" ref="E31:O31" si="3">(E29-0.066)/11.46*100</f>
        <v>2.8795811518324608</v>
      </c>
      <c r="F31">
        <f t="shared" si="3"/>
        <v>2.3123909249563699</v>
      </c>
      <c r="G31">
        <f t="shared" si="3"/>
        <v>2.7661431064572426</v>
      </c>
      <c r="H31">
        <f t="shared" si="3"/>
        <v>3.1064572425828967</v>
      </c>
      <c r="I31">
        <f t="shared" si="3"/>
        <v>2.9406631762652702</v>
      </c>
      <c r="J31">
        <f t="shared" si="3"/>
        <v>2.9581151832460733</v>
      </c>
      <c r="K31">
        <f t="shared" si="3"/>
        <v>2.5043630017452001</v>
      </c>
      <c r="L31">
        <f t="shared" si="3"/>
        <v>2.9930191972076785</v>
      </c>
      <c r="M31">
        <f t="shared" si="3"/>
        <v>2.6178010471204183</v>
      </c>
      <c r="N31">
        <f t="shared" si="3"/>
        <v>3.3944153577661429</v>
      </c>
      <c r="O31">
        <f t="shared" si="3"/>
        <v>3.0541012216404884</v>
      </c>
      <c r="P31">
        <f t="shared" ref="P31:AA31" si="4">(P29-0.066)/11.46*100</f>
        <v>3.1762652705061081</v>
      </c>
      <c r="Q31">
        <f t="shared" si="4"/>
        <v>2.7399650959860384</v>
      </c>
      <c r="R31">
        <f t="shared" si="4"/>
        <v>2.9144851657940665</v>
      </c>
      <c r="S31">
        <f t="shared" si="4"/>
        <v>2.25130890052356</v>
      </c>
      <c r="T31">
        <f t="shared" si="4"/>
        <v>3.7609075043630016</v>
      </c>
      <c r="U31">
        <f t="shared" si="4"/>
        <v>2.7835951134380452</v>
      </c>
      <c r="V31">
        <f t="shared" si="4"/>
        <v>3.0366492146596853</v>
      </c>
      <c r="W31">
        <f t="shared" si="4"/>
        <v>3.2198952879581149</v>
      </c>
      <c r="X31">
        <f t="shared" si="4"/>
        <v>3.2635253054101221</v>
      </c>
      <c r="Y31">
        <f t="shared" si="4"/>
        <v>2.3123909249563699</v>
      </c>
      <c r="Z31">
        <f t="shared" si="4"/>
        <v>3.31588132635253</v>
      </c>
      <c r="AA31">
        <f t="shared" si="4"/>
        <v>2.4607329842931933</v>
      </c>
      <c r="AB31">
        <f t="shared" ref="AB31:AF31" si="5">(AB29-0.066)/11.46*100</f>
        <v>3.0017452006980796</v>
      </c>
      <c r="AC31">
        <f t="shared" si="5"/>
        <v>2.582897033158813</v>
      </c>
      <c r="AD31">
        <f t="shared" si="5"/>
        <v>2.3036649214659684</v>
      </c>
      <c r="AE31">
        <f t="shared" si="5"/>
        <v>2.8184991273996509</v>
      </c>
      <c r="AF31">
        <f t="shared" si="5"/>
        <v>2.9755671902268759</v>
      </c>
    </row>
    <row r="32" spans="1:32" ht="14">
      <c r="A32" s="42" t="s">
        <v>33</v>
      </c>
      <c r="B32" s="12" t="s">
        <v>30</v>
      </c>
      <c r="D32">
        <f>D30-1.945899</f>
        <v>0.79406609598603839</v>
      </c>
      <c r="E32">
        <f t="shared" ref="E32:P32" si="6">E30-1.945899</f>
        <v>0.86387412390924934</v>
      </c>
      <c r="F32">
        <f t="shared" si="6"/>
        <v>0.29668389703315889</v>
      </c>
      <c r="G32">
        <f t="shared" si="6"/>
        <v>0.82024410645724255</v>
      </c>
      <c r="H32">
        <f t="shared" si="6"/>
        <v>0.86387412390924934</v>
      </c>
      <c r="I32">
        <f t="shared" si="6"/>
        <v>1.3525303193717277</v>
      </c>
      <c r="J32">
        <f t="shared" si="6"/>
        <v>1.2652702844677137</v>
      </c>
      <c r="K32">
        <f t="shared" si="6"/>
        <v>0.51483398429319327</v>
      </c>
      <c r="L32">
        <f t="shared" si="6"/>
        <v>0.8551481204188478</v>
      </c>
      <c r="M32">
        <f t="shared" si="6"/>
        <v>1.317626305410122</v>
      </c>
      <c r="N32">
        <f t="shared" si="6"/>
        <v>0.96858616579406642</v>
      </c>
      <c r="O32">
        <f t="shared" si="6"/>
        <v>1.2041882600349034</v>
      </c>
      <c r="P32">
        <f t="shared" si="6"/>
        <v>1.230366270506108</v>
      </c>
      <c r="Q32">
        <f t="shared" ref="Q32:AF32" si="7">Q30-1.945899</f>
        <v>0.89877813787085503</v>
      </c>
      <c r="R32">
        <f t="shared" si="7"/>
        <v>0.98603817277486905</v>
      </c>
      <c r="S32">
        <f t="shared" si="7"/>
        <v>0.28795789354275736</v>
      </c>
      <c r="T32">
        <f t="shared" si="7"/>
        <v>1.8673645253054094</v>
      </c>
      <c r="U32">
        <f t="shared" si="7"/>
        <v>0.91623014485165766</v>
      </c>
      <c r="V32">
        <f t="shared" si="7"/>
        <v>1.4485163577661428</v>
      </c>
      <c r="W32">
        <f t="shared" si="7"/>
        <v>1.5095983821989527</v>
      </c>
      <c r="X32">
        <f t="shared" si="7"/>
        <v>1.2914482949389179</v>
      </c>
      <c r="Y32">
        <f t="shared" si="7"/>
        <v>0.64572403664921452</v>
      </c>
      <c r="Z32">
        <f t="shared" si="7"/>
        <v>0.97731216928446751</v>
      </c>
      <c r="AA32">
        <f t="shared" si="7"/>
        <v>0.86387412390924934</v>
      </c>
      <c r="AB32">
        <f t="shared" si="7"/>
        <v>0.76788808551483378</v>
      </c>
      <c r="AC32">
        <f t="shared" si="7"/>
        <v>0.23560187260034904</v>
      </c>
      <c r="AD32">
        <f t="shared" si="7"/>
        <v>0.4275739493891797</v>
      </c>
      <c r="AE32">
        <f t="shared" si="7"/>
        <v>1.1343802321116925</v>
      </c>
      <c r="AF32">
        <f t="shared" si="7"/>
        <v>0.92495614834205919</v>
      </c>
    </row>
    <row r="33" spans="1:32" ht="14">
      <c r="A33" s="42"/>
      <c r="B33" s="12" t="s">
        <v>31</v>
      </c>
      <c r="D33">
        <f>D31-1.963351</f>
        <v>0.54101200174520003</v>
      </c>
      <c r="E33">
        <f t="shared" ref="E33:P33" si="8">E31-1.963351</f>
        <v>0.9162301518324607</v>
      </c>
      <c r="F33">
        <f t="shared" si="8"/>
        <v>0.34903992495636982</v>
      </c>
      <c r="G33">
        <f t="shared" si="8"/>
        <v>0.80279210645724253</v>
      </c>
      <c r="H33">
        <f t="shared" si="8"/>
        <v>1.1431062425828966</v>
      </c>
      <c r="I33">
        <f t="shared" si="8"/>
        <v>0.97731217626527012</v>
      </c>
      <c r="J33">
        <f t="shared" si="8"/>
        <v>0.99476418324607319</v>
      </c>
      <c r="K33">
        <f t="shared" si="8"/>
        <v>0.54101200174520003</v>
      </c>
      <c r="L33">
        <f t="shared" si="8"/>
        <v>1.0296681972076784</v>
      </c>
      <c r="M33">
        <f t="shared" si="8"/>
        <v>0.65445004712041821</v>
      </c>
      <c r="N33">
        <f t="shared" si="8"/>
        <v>1.4310643577661428</v>
      </c>
      <c r="O33">
        <f t="shared" si="8"/>
        <v>1.0907502216404883</v>
      </c>
      <c r="P33">
        <f t="shared" si="8"/>
        <v>1.212914270506108</v>
      </c>
      <c r="Q33">
        <f t="shared" ref="Q33:AF33" si="9">Q31-1.963351</f>
        <v>0.77661409598603837</v>
      </c>
      <c r="R33">
        <f t="shared" si="9"/>
        <v>0.9511341657940664</v>
      </c>
      <c r="S33">
        <f t="shared" si="9"/>
        <v>0.28795790052355996</v>
      </c>
      <c r="T33">
        <f t="shared" si="9"/>
        <v>1.7975565043630015</v>
      </c>
      <c r="U33">
        <f t="shared" si="9"/>
        <v>0.82024411343804515</v>
      </c>
      <c r="V33">
        <f t="shared" si="9"/>
        <v>1.0732982146596852</v>
      </c>
      <c r="W33">
        <f t="shared" si="9"/>
        <v>1.2565442879581148</v>
      </c>
      <c r="X33">
        <f t="shared" si="9"/>
        <v>1.300174305410122</v>
      </c>
      <c r="Y33">
        <f t="shared" si="9"/>
        <v>0.34903992495636982</v>
      </c>
      <c r="Z33">
        <f t="shared" si="9"/>
        <v>1.3525303263525299</v>
      </c>
      <c r="AA33">
        <f t="shared" si="9"/>
        <v>0.49738198429319325</v>
      </c>
      <c r="AB33">
        <f t="shared" si="9"/>
        <v>1.0383942006980795</v>
      </c>
      <c r="AC33">
        <f t="shared" si="9"/>
        <v>0.61954603315881296</v>
      </c>
      <c r="AD33">
        <f t="shared" si="9"/>
        <v>0.34031392146596828</v>
      </c>
      <c r="AE33">
        <f t="shared" si="9"/>
        <v>0.85514812739965085</v>
      </c>
      <c r="AF33">
        <f t="shared" si="9"/>
        <v>1.0122161902268758</v>
      </c>
    </row>
    <row r="34" spans="1:32" ht="14">
      <c r="A34" s="42" t="s">
        <v>34</v>
      </c>
      <c r="B34" s="12" t="s">
        <v>30</v>
      </c>
      <c r="D34">
        <f>D32/342.3*1000000</f>
        <v>2319.7957814374477</v>
      </c>
      <c r="E34">
        <f t="shared" ref="E34:P34" si="10">E32/342.3*1000000</f>
        <v>2523.7339290366617</v>
      </c>
      <c r="F34">
        <f t="shared" si="10"/>
        <v>866.73647979304371</v>
      </c>
      <c r="G34">
        <f t="shared" si="10"/>
        <v>2396.2725867871532</v>
      </c>
      <c r="H34">
        <f t="shared" si="10"/>
        <v>2523.7339290366617</v>
      </c>
      <c r="I34">
        <f t="shared" si="10"/>
        <v>3951.3009622311652</v>
      </c>
      <c r="J34">
        <f t="shared" si="10"/>
        <v>3696.3782777321467</v>
      </c>
      <c r="K34">
        <f t="shared" si="10"/>
        <v>1504.043191040588</v>
      </c>
      <c r="L34">
        <f t="shared" si="10"/>
        <v>2498.2416605867593</v>
      </c>
      <c r="M34">
        <f t="shared" si="10"/>
        <v>3849.3318884315572</v>
      </c>
      <c r="N34">
        <f t="shared" si="10"/>
        <v>2829.6411504354846</v>
      </c>
      <c r="O34">
        <f t="shared" si="10"/>
        <v>3517.9323985828319</v>
      </c>
      <c r="P34">
        <f t="shared" si="10"/>
        <v>3594.4092039325387</v>
      </c>
      <c r="Q34">
        <f t="shared" ref="Q34:AF34" si="11">Q32/342.3*1000000</f>
        <v>2625.7030028362697</v>
      </c>
      <c r="R34">
        <f t="shared" si="11"/>
        <v>2880.6256873352881</v>
      </c>
      <c r="S34">
        <f t="shared" si="11"/>
        <v>841.2442113431415</v>
      </c>
      <c r="T34">
        <f t="shared" si="11"/>
        <v>5455.3448007753705</v>
      </c>
      <c r="U34">
        <f t="shared" si="11"/>
        <v>2676.6875397360723</v>
      </c>
      <c r="V34">
        <f t="shared" si="11"/>
        <v>4231.7159151800843</v>
      </c>
      <c r="W34">
        <f t="shared" si="11"/>
        <v>4410.1617943293977</v>
      </c>
      <c r="X34">
        <f t="shared" si="11"/>
        <v>3772.8550830818517</v>
      </c>
      <c r="Y34">
        <f t="shared" si="11"/>
        <v>1886.4272177891162</v>
      </c>
      <c r="Z34">
        <f t="shared" si="11"/>
        <v>2855.1334188853857</v>
      </c>
      <c r="AA34">
        <f t="shared" si="11"/>
        <v>2523.7339290366617</v>
      </c>
      <c r="AB34">
        <f t="shared" si="11"/>
        <v>2243.3189760877412</v>
      </c>
      <c r="AC34">
        <f t="shared" si="11"/>
        <v>688.29060064373073</v>
      </c>
      <c r="AD34">
        <f t="shared" si="11"/>
        <v>1249.1205065415709</v>
      </c>
      <c r="AE34">
        <f t="shared" si="11"/>
        <v>3313.9942509836178</v>
      </c>
      <c r="AF34">
        <f t="shared" si="11"/>
        <v>2702.1798081859747</v>
      </c>
    </row>
    <row r="35" spans="1:32" ht="14">
      <c r="A35" s="42"/>
      <c r="B35" s="12" t="s">
        <v>31</v>
      </c>
      <c r="D35">
        <f>D33/342.3*1000000</f>
        <v>1580.5200167841074</v>
      </c>
      <c r="E35">
        <f t="shared" ref="E35:P35" si="12">E33/342.3*1000000</f>
        <v>2676.687560129888</v>
      </c>
      <c r="F35">
        <f t="shared" si="12"/>
        <v>1019.6901108862688</v>
      </c>
      <c r="G35">
        <f t="shared" si="12"/>
        <v>2345.288070281164</v>
      </c>
      <c r="H35">
        <f t="shared" si="12"/>
        <v>3339.4865398273341</v>
      </c>
      <c r="I35">
        <f t="shared" si="12"/>
        <v>2855.1334392792</v>
      </c>
      <c r="J35">
        <f t="shared" si="12"/>
        <v>2906.117976179004</v>
      </c>
      <c r="K35">
        <f t="shared" si="12"/>
        <v>1580.5200167841074</v>
      </c>
      <c r="L35">
        <f t="shared" si="12"/>
        <v>3008.0870499786106</v>
      </c>
      <c r="M35">
        <f t="shared" si="12"/>
        <v>1911.9195066328314</v>
      </c>
      <c r="N35">
        <f t="shared" si="12"/>
        <v>4180.7313986740955</v>
      </c>
      <c r="O35">
        <f t="shared" si="12"/>
        <v>3186.5329291279236</v>
      </c>
      <c r="P35">
        <f t="shared" si="12"/>
        <v>3543.4246874265496</v>
      </c>
      <c r="Q35">
        <f t="shared" ref="Q35:AF35" si="13">Q33/342.3*1000000</f>
        <v>2268.8112649314585</v>
      </c>
      <c r="R35">
        <f t="shared" si="13"/>
        <v>2778.6566339294959</v>
      </c>
      <c r="S35">
        <f t="shared" si="13"/>
        <v>841.24423173695584</v>
      </c>
      <c r="T35">
        <f t="shared" si="13"/>
        <v>5251.4066735699726</v>
      </c>
      <c r="U35">
        <f t="shared" si="13"/>
        <v>2396.2726071809675</v>
      </c>
      <c r="V35">
        <f t="shared" si="13"/>
        <v>3135.5483922281192</v>
      </c>
      <c r="W35">
        <f t="shared" si="13"/>
        <v>3670.8860296760586</v>
      </c>
      <c r="X35">
        <f t="shared" si="13"/>
        <v>3798.347371925568</v>
      </c>
      <c r="Y35">
        <f t="shared" si="13"/>
        <v>1019.6901108862688</v>
      </c>
      <c r="Z35">
        <f t="shared" si="13"/>
        <v>3951.3009826249777</v>
      </c>
      <c r="AA35">
        <f t="shared" si="13"/>
        <v>1453.0586745345988</v>
      </c>
      <c r="AB35">
        <f t="shared" si="13"/>
        <v>3033.5793184285117</v>
      </c>
      <c r="AC35">
        <f t="shared" si="13"/>
        <v>1809.950432833225</v>
      </c>
      <c r="AD35">
        <f t="shared" si="13"/>
        <v>994.19784243636661</v>
      </c>
      <c r="AE35">
        <f t="shared" si="13"/>
        <v>2498.241680980575</v>
      </c>
      <c r="AF35">
        <f t="shared" si="13"/>
        <v>2957.1025130788075</v>
      </c>
    </row>
    <row r="36" spans="1:32" ht="14">
      <c r="A36" s="42" t="s">
        <v>35</v>
      </c>
      <c r="B36" s="12" t="s">
        <v>30</v>
      </c>
      <c r="D36">
        <f>(D34*0.002)/(1*10)*1000</f>
        <v>463.95915628748952</v>
      </c>
      <c r="E36">
        <f t="shared" ref="E36:P36" si="14">(E34*0.002)/(1*10)*1000</f>
        <v>504.74678580733234</v>
      </c>
      <c r="F36">
        <f t="shared" si="14"/>
        <v>173.34729595860873</v>
      </c>
      <c r="G36">
        <f t="shared" si="14"/>
        <v>479.25451735743064</v>
      </c>
      <c r="H36">
        <f t="shared" si="14"/>
        <v>504.74678580733234</v>
      </c>
      <c r="I36">
        <f t="shared" si="14"/>
        <v>790.26019244623308</v>
      </c>
      <c r="J36">
        <f t="shared" si="14"/>
        <v>739.27565554642933</v>
      </c>
      <c r="K36">
        <f t="shared" si="14"/>
        <v>300.8086382081176</v>
      </c>
      <c r="L36">
        <f t="shared" si="14"/>
        <v>499.6483321173518</v>
      </c>
      <c r="M36">
        <f t="shared" si="14"/>
        <v>769.86637768631147</v>
      </c>
      <c r="N36">
        <f t="shared" si="14"/>
        <v>565.92823008709695</v>
      </c>
      <c r="O36">
        <f t="shared" si="14"/>
        <v>703.58647971656637</v>
      </c>
      <c r="P36">
        <f t="shared" si="14"/>
        <v>718.88184078650772</v>
      </c>
      <c r="Q36">
        <f t="shared" ref="Q36:AF36" si="15">(Q34*0.002)/(1*10)*1000</f>
        <v>525.14060056725384</v>
      </c>
      <c r="R36">
        <f t="shared" si="15"/>
        <v>576.12513746705758</v>
      </c>
      <c r="S36">
        <f t="shared" si="15"/>
        <v>168.24884226862829</v>
      </c>
      <c r="T36">
        <f t="shared" si="15"/>
        <v>1091.0689601550741</v>
      </c>
      <c r="U36">
        <f t="shared" si="15"/>
        <v>535.33750794721448</v>
      </c>
      <c r="V36">
        <f t="shared" si="15"/>
        <v>846.34318303601685</v>
      </c>
      <c r="W36">
        <f t="shared" si="15"/>
        <v>882.03235886587947</v>
      </c>
      <c r="X36">
        <f t="shared" si="15"/>
        <v>754.57101661637034</v>
      </c>
      <c r="Y36">
        <f t="shared" si="15"/>
        <v>377.28544355782321</v>
      </c>
      <c r="Z36">
        <f t="shared" si="15"/>
        <v>571.02668377707721</v>
      </c>
      <c r="AA36">
        <f t="shared" si="15"/>
        <v>504.74678580733234</v>
      </c>
      <c r="AB36">
        <f t="shared" si="15"/>
        <v>448.66379521754823</v>
      </c>
      <c r="AC36">
        <f t="shared" si="15"/>
        <v>137.65812012874613</v>
      </c>
      <c r="AD36">
        <f t="shared" si="15"/>
        <v>249.82410130831417</v>
      </c>
      <c r="AE36">
        <f t="shared" si="15"/>
        <v>662.79885019672361</v>
      </c>
      <c r="AF36">
        <f t="shared" si="15"/>
        <v>540.43596163719496</v>
      </c>
    </row>
    <row r="37" spans="1:32" ht="14">
      <c r="A37" s="42"/>
      <c r="B37" s="12" t="s">
        <v>31</v>
      </c>
      <c r="D37">
        <f>(D35*0.002)/(1*10)*1000</f>
        <v>316.10400335682147</v>
      </c>
      <c r="E37">
        <f t="shared" ref="E37:P37" si="16">(E35*0.002)/(1*10)*1000</f>
        <v>535.33751202597762</v>
      </c>
      <c r="F37">
        <f t="shared" si="16"/>
        <v>203.93802217725377</v>
      </c>
      <c r="G37">
        <f t="shared" si="16"/>
        <v>469.05761405623281</v>
      </c>
      <c r="H37">
        <f t="shared" si="16"/>
        <v>667.89730796546689</v>
      </c>
      <c r="I37">
        <f t="shared" si="16"/>
        <v>571.02668785584001</v>
      </c>
      <c r="J37">
        <f t="shared" si="16"/>
        <v>581.22359523580076</v>
      </c>
      <c r="K37">
        <f t="shared" si="16"/>
        <v>316.10400335682147</v>
      </c>
      <c r="L37">
        <f t="shared" si="16"/>
        <v>601.61740999572214</v>
      </c>
      <c r="M37">
        <f t="shared" si="16"/>
        <v>382.38390132656627</v>
      </c>
      <c r="N37">
        <f t="shared" si="16"/>
        <v>836.14627973481902</v>
      </c>
      <c r="O37">
        <f t="shared" si="16"/>
        <v>637.30658582558476</v>
      </c>
      <c r="P37">
        <f t="shared" si="16"/>
        <v>708.68493748530989</v>
      </c>
      <c r="Q37">
        <f t="shared" ref="Q37:AF37" si="17">(Q35*0.002)/(1*10)*1000</f>
        <v>453.76225298629168</v>
      </c>
      <c r="R37">
        <f t="shared" si="17"/>
        <v>555.73132678589923</v>
      </c>
      <c r="S37">
        <f t="shared" si="17"/>
        <v>168.24884634739118</v>
      </c>
      <c r="T37">
        <f t="shared" si="17"/>
        <v>1050.2813347139945</v>
      </c>
      <c r="U37">
        <f t="shared" si="17"/>
        <v>479.2545214361935</v>
      </c>
      <c r="V37">
        <f t="shared" si="17"/>
        <v>627.10967844562379</v>
      </c>
      <c r="W37">
        <f t="shared" si="17"/>
        <v>734.17720593521176</v>
      </c>
      <c r="X37">
        <f t="shared" si="17"/>
        <v>759.66947438511363</v>
      </c>
      <c r="Y37">
        <f t="shared" si="17"/>
        <v>203.93802217725377</v>
      </c>
      <c r="Z37">
        <f t="shared" si="17"/>
        <v>790.26019652499554</v>
      </c>
      <c r="AA37">
        <f t="shared" si="17"/>
        <v>290.61173490691976</v>
      </c>
      <c r="AB37">
        <f t="shared" si="17"/>
        <v>606.71586368570229</v>
      </c>
      <c r="AC37">
        <f t="shared" si="17"/>
        <v>361.990086566645</v>
      </c>
      <c r="AD37">
        <f t="shared" si="17"/>
        <v>198.83956848727334</v>
      </c>
      <c r="AE37">
        <f t="shared" si="17"/>
        <v>499.64833619611505</v>
      </c>
      <c r="AF37">
        <f t="shared" si="17"/>
        <v>591.42050261576151</v>
      </c>
    </row>
    <row r="38" spans="1:32" ht="14">
      <c r="A38" s="13"/>
      <c r="B38" s="14" t="s">
        <v>36</v>
      </c>
      <c r="D38">
        <f>AVERAGE(D36:D37)</f>
        <v>390.03157982215549</v>
      </c>
      <c r="E38">
        <f t="shared" ref="E38:P38" si="18">AVERAGE(E36:E37)</f>
        <v>520.04214891665492</v>
      </c>
      <c r="F38">
        <f>AVERAGE(F36:F37)</f>
        <v>188.64265906793125</v>
      </c>
      <c r="G38">
        <f t="shared" si="18"/>
        <v>474.15606570683173</v>
      </c>
      <c r="H38">
        <f t="shared" si="18"/>
        <v>586.32204688639968</v>
      </c>
      <c r="I38">
        <f t="shared" si="18"/>
        <v>680.64344015103654</v>
      </c>
      <c r="J38">
        <f t="shared" si="18"/>
        <v>660.24962539111505</v>
      </c>
      <c r="K38">
        <f t="shared" si="18"/>
        <v>308.45632078246956</v>
      </c>
      <c r="L38">
        <f t="shared" si="18"/>
        <v>550.63287105653694</v>
      </c>
      <c r="M38">
        <f t="shared" si="18"/>
        <v>576.12513950643893</v>
      </c>
      <c r="N38">
        <f t="shared" si="18"/>
        <v>701.03725491095793</v>
      </c>
      <c r="O38">
        <f t="shared" si="18"/>
        <v>670.44653277107557</v>
      </c>
      <c r="P38">
        <f t="shared" si="18"/>
        <v>713.78338913590881</v>
      </c>
      <c r="Q38">
        <f t="shared" ref="Q38:AF38" si="19">AVERAGE(Q36:Q37)</f>
        <v>489.45142677677279</v>
      </c>
      <c r="R38">
        <f t="shared" si="19"/>
        <v>565.92823212647841</v>
      </c>
      <c r="S38">
        <f t="shared" si="19"/>
        <v>168.24884430800972</v>
      </c>
      <c r="T38">
        <f t="shared" si="19"/>
        <v>1070.6751474345342</v>
      </c>
      <c r="U38">
        <f t="shared" si="19"/>
        <v>507.29601469170399</v>
      </c>
      <c r="V38">
        <f t="shared" si="19"/>
        <v>736.72643074082032</v>
      </c>
      <c r="W38">
        <f t="shared" si="19"/>
        <v>808.10478240054567</v>
      </c>
      <c r="X38">
        <f t="shared" si="19"/>
        <v>757.12024550074193</v>
      </c>
      <c r="Y38">
        <f t="shared" si="19"/>
        <v>290.61173286753848</v>
      </c>
      <c r="Z38">
        <f t="shared" si="19"/>
        <v>680.64344015103643</v>
      </c>
      <c r="AA38">
        <f t="shared" si="19"/>
        <v>397.67926035712605</v>
      </c>
      <c r="AB38">
        <f t="shared" si="19"/>
        <v>527.6898294516252</v>
      </c>
      <c r="AC38">
        <f t="shared" si="19"/>
        <v>249.82410334769557</v>
      </c>
      <c r="AD38">
        <f t="shared" si="19"/>
        <v>224.33183489779375</v>
      </c>
      <c r="AE38">
        <f t="shared" si="19"/>
        <v>581.2235931964193</v>
      </c>
      <c r="AF38">
        <f t="shared" si="19"/>
        <v>565.92823212647818</v>
      </c>
    </row>
    <row r="39" spans="1:32" ht="14">
      <c r="A39" s="13"/>
      <c r="B39" s="14" t="s">
        <v>37</v>
      </c>
      <c r="D39">
        <f>STDEV(D36:D37)</f>
        <v>104.54938127064932</v>
      </c>
      <c r="E39">
        <f t="shared" ref="E39:P39" si="20">STDEV(E36:E37)</f>
        <v>21.630909950625185</v>
      </c>
      <c r="F39">
        <f t="shared" si="20"/>
        <v>21.630909950625025</v>
      </c>
      <c r="G39">
        <f t="shared" si="20"/>
        <v>7.2102994713804822</v>
      </c>
      <c r="H39">
        <f t="shared" si="20"/>
        <v>115.36484057214227</v>
      </c>
      <c r="I39">
        <f t="shared" si="20"/>
        <v>155.02149775915927</v>
      </c>
      <c r="J39">
        <f t="shared" si="20"/>
        <v>111.75968362615042</v>
      </c>
      <c r="K39">
        <f t="shared" si="20"/>
        <v>10.815456417372889</v>
      </c>
      <c r="L39">
        <f t="shared" si="20"/>
        <v>72.103026439134837</v>
      </c>
      <c r="M39">
        <f t="shared" si="20"/>
        <v>273.99148662493172</v>
      </c>
      <c r="N39">
        <f t="shared" si="20"/>
        <v>191.07301530490773</v>
      </c>
      <c r="O39">
        <f t="shared" si="20"/>
        <v>46.866962426637919</v>
      </c>
      <c r="P39">
        <f t="shared" si="20"/>
        <v>7.2102994713804822</v>
      </c>
      <c r="Q39">
        <f t="shared" ref="Q39:AF39" si="21">STDEV(Q36:Q37)</f>
        <v>50.472113604388738</v>
      </c>
      <c r="R39">
        <f t="shared" si="21"/>
        <v>14.420601826881718</v>
      </c>
      <c r="S39">
        <f t="shared" si="21"/>
        <v>2.8841208946755751E-6</v>
      </c>
      <c r="T39">
        <f t="shared" si="21"/>
        <v>28.84120653788435</v>
      </c>
      <c r="U39">
        <f t="shared" si="21"/>
        <v>39.656660071136606</v>
      </c>
      <c r="V39">
        <f t="shared" si="21"/>
        <v>155.02149775915927</v>
      </c>
      <c r="W39">
        <f t="shared" si="21"/>
        <v>104.54938127064918</v>
      </c>
      <c r="X39">
        <f t="shared" si="21"/>
        <v>3.6051540618716134</v>
      </c>
      <c r="Y39">
        <f t="shared" si="21"/>
        <v>122.57513715940273</v>
      </c>
      <c r="Z39">
        <f t="shared" si="21"/>
        <v>155.02150352740003</v>
      </c>
      <c r="AA39">
        <f t="shared" si="21"/>
        <v>151.41634658140819</v>
      </c>
      <c r="AB39">
        <f t="shared" si="21"/>
        <v>111.75968939439268</v>
      </c>
      <c r="AC39">
        <f t="shared" si="21"/>
        <v>158.62665470515125</v>
      </c>
      <c r="AD39">
        <f t="shared" si="21"/>
        <v>36.051508893386213</v>
      </c>
      <c r="AE39">
        <f t="shared" si="21"/>
        <v>115.36483480390153</v>
      </c>
      <c r="AF39">
        <f t="shared" si="21"/>
        <v>36.051514661627813</v>
      </c>
    </row>
  </sheetData>
  <mergeCells count="5">
    <mergeCell ref="A28:A29"/>
    <mergeCell ref="A30:A31"/>
    <mergeCell ref="A32:A33"/>
    <mergeCell ref="A34:A35"/>
    <mergeCell ref="A36:A37"/>
  </mergeCells>
  <phoneticPr fontId="0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8E46-E1A8-4685-B67E-2BACEBDEAC02}">
  <dimension ref="A3:W50"/>
  <sheetViews>
    <sheetView workbookViewId="0">
      <selection activeCell="V36" sqref="V36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3" spans="4:9" ht="14">
      <c r="D3" s="15" t="s">
        <v>39</v>
      </c>
      <c r="E3" s="19">
        <v>0</v>
      </c>
      <c r="F3" s="19">
        <v>0.01</v>
      </c>
      <c r="G3" s="19">
        <v>0.02</v>
      </c>
      <c r="H3" s="19">
        <v>0.04</v>
      </c>
      <c r="I3" s="19">
        <v>0.05</v>
      </c>
    </row>
    <row r="4" spans="4:9">
      <c r="D4" t="s">
        <v>40</v>
      </c>
      <c r="E4" s="3">
        <v>4.5999999999999999E-2</v>
      </c>
      <c r="F4" s="2">
        <v>0.154</v>
      </c>
      <c r="G4" s="9">
        <v>0.26500000000000001</v>
      </c>
      <c r="H4" s="20">
        <v>0.49099999999999999</v>
      </c>
      <c r="I4" s="4">
        <v>0.59199999999999997</v>
      </c>
    </row>
    <row r="25" spans="1:23">
      <c r="C25" t="s">
        <v>28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 t="s">
        <v>46</v>
      </c>
      <c r="J25" t="s">
        <v>47</v>
      </c>
      <c r="K25" t="s">
        <v>48</v>
      </c>
      <c r="L25" t="s">
        <v>144</v>
      </c>
      <c r="M25" t="s">
        <v>49</v>
      </c>
      <c r="N25" t="s">
        <v>50</v>
      </c>
      <c r="O25" t="s">
        <v>51</v>
      </c>
      <c r="P25" t="s">
        <v>52</v>
      </c>
      <c r="Q25" t="s">
        <v>53</v>
      </c>
      <c r="R25" t="s">
        <v>54</v>
      </c>
      <c r="S25" t="s">
        <v>141</v>
      </c>
      <c r="T25" t="s">
        <v>147</v>
      </c>
      <c r="U25" t="s">
        <v>146</v>
      </c>
      <c r="V25" t="s">
        <v>57</v>
      </c>
      <c r="W25" t="s">
        <v>15</v>
      </c>
    </row>
    <row r="26" spans="1:23" ht="14">
      <c r="A26" s="43" t="s">
        <v>29</v>
      </c>
      <c r="B26" s="12" t="s">
        <v>30</v>
      </c>
      <c r="C26" s="16">
        <v>0.154</v>
      </c>
      <c r="D26" s="16">
        <v>0.32200000000000001</v>
      </c>
      <c r="E26" s="16">
        <v>0.41099999999999998</v>
      </c>
      <c r="F26" s="16">
        <v>0.26700000000000002</v>
      </c>
      <c r="G26" s="16">
        <v>0.28599999999999998</v>
      </c>
      <c r="H26" s="16">
        <v>0.34300000000000003</v>
      </c>
      <c r="I26" s="16">
        <v>0.312</v>
      </c>
      <c r="J26" s="16">
        <v>0.27100000000000002</v>
      </c>
      <c r="K26" s="16">
        <v>0.28899999999999998</v>
      </c>
      <c r="L26" s="16">
        <v>0.25</v>
      </c>
      <c r="M26" s="16">
        <v>0.29199999999999998</v>
      </c>
      <c r="N26" s="16">
        <v>0.27700000000000002</v>
      </c>
      <c r="O26" s="16">
        <v>0.33400000000000002</v>
      </c>
      <c r="P26" s="16">
        <v>0.34699999999999998</v>
      </c>
      <c r="Q26" s="16">
        <v>0.24</v>
      </c>
      <c r="R26" s="16">
        <v>0.318</v>
      </c>
      <c r="S26" s="16">
        <v>0.30099999999999999</v>
      </c>
      <c r="T26" s="16">
        <v>0.2</v>
      </c>
      <c r="U26" s="16">
        <v>0.29699999999999999</v>
      </c>
      <c r="V26" s="16">
        <v>0.28899999999999998</v>
      </c>
      <c r="W26" s="16">
        <v>0.379</v>
      </c>
    </row>
    <row r="27" spans="1:23" ht="14">
      <c r="A27" s="43"/>
      <c r="B27" s="12" t="s">
        <v>31</v>
      </c>
      <c r="C27" s="16">
        <v>0.155</v>
      </c>
      <c r="D27" s="16">
        <v>0.29599999999999999</v>
      </c>
      <c r="E27" s="16">
        <v>0.39800000000000002</v>
      </c>
      <c r="F27" s="16">
        <v>0.24399999999999999</v>
      </c>
      <c r="G27" s="16">
        <v>0.27400000000000002</v>
      </c>
      <c r="H27" s="16">
        <v>0.30399999999999999</v>
      </c>
      <c r="I27" s="16">
        <v>0.29799999999999999</v>
      </c>
      <c r="J27" s="16">
        <v>0.25800000000000001</v>
      </c>
      <c r="K27" s="16">
        <v>0.254</v>
      </c>
      <c r="L27" s="16">
        <v>0.23200000000000001</v>
      </c>
      <c r="M27" s="16">
        <v>0.26200000000000001</v>
      </c>
      <c r="N27" s="16">
        <v>0.26</v>
      </c>
      <c r="O27" s="16">
        <v>0.31900000000000001</v>
      </c>
      <c r="P27" s="16">
        <v>0.311</v>
      </c>
      <c r="Q27" s="16">
        <v>0.23899999999999999</v>
      </c>
      <c r="R27" s="16">
        <v>0.29299999999999998</v>
      </c>
      <c r="S27" s="16">
        <v>0.33700000000000002</v>
      </c>
      <c r="T27" s="16">
        <v>0.219</v>
      </c>
      <c r="U27" s="16">
        <v>0.307</v>
      </c>
      <c r="V27" s="16">
        <v>0.252</v>
      </c>
      <c r="W27" s="16">
        <v>0.35799999999999998</v>
      </c>
    </row>
    <row r="28" spans="1:23" ht="14">
      <c r="A28" s="42" t="s">
        <v>32</v>
      </c>
      <c r="B28" s="12" t="s">
        <v>30</v>
      </c>
      <c r="C28">
        <f t="shared" ref="C28:W28" si="0">(C26-0.0455)/11.005*100</f>
        <v>0.98591549295774639</v>
      </c>
      <c r="D28">
        <f t="shared" si="0"/>
        <v>2.5124943207632895</v>
      </c>
      <c r="E28">
        <f t="shared" si="0"/>
        <v>3.3212176283507491</v>
      </c>
      <c r="F28">
        <f t="shared" si="0"/>
        <v>2.012721490231713</v>
      </c>
      <c r="G28">
        <f t="shared" si="0"/>
        <v>2.18537028623353</v>
      </c>
      <c r="H28">
        <f t="shared" si="0"/>
        <v>2.7033166742389825</v>
      </c>
      <c r="I28">
        <f t="shared" si="0"/>
        <v>2.4216265333939115</v>
      </c>
      <c r="J28">
        <f t="shared" si="0"/>
        <v>2.049068605179464</v>
      </c>
      <c r="K28">
        <f t="shared" si="0"/>
        <v>2.2126306224443435</v>
      </c>
      <c r="L28">
        <f t="shared" si="0"/>
        <v>1.8582462517037708</v>
      </c>
      <c r="M28">
        <f t="shared" si="0"/>
        <v>2.2398909586551565</v>
      </c>
      <c r="N28">
        <f t="shared" si="0"/>
        <v>2.1035892776010905</v>
      </c>
      <c r="O28">
        <f t="shared" si="0"/>
        <v>2.6215356656065425</v>
      </c>
      <c r="P28">
        <f t="shared" si="0"/>
        <v>2.739663789186733</v>
      </c>
      <c r="Q28">
        <f t="shared" si="0"/>
        <v>1.7673784643343935</v>
      </c>
      <c r="R28">
        <f t="shared" si="0"/>
        <v>2.4761472058155385</v>
      </c>
      <c r="S28">
        <f t="shared" si="0"/>
        <v>2.3216719672875965</v>
      </c>
      <c r="T28">
        <f t="shared" si="0"/>
        <v>1.4039073148568832</v>
      </c>
      <c r="U28">
        <f t="shared" si="0"/>
        <v>2.2853248523398451</v>
      </c>
      <c r="V28">
        <f t="shared" si="0"/>
        <v>2.2126306224443435</v>
      </c>
      <c r="W28">
        <f t="shared" si="0"/>
        <v>3.0304407087687415</v>
      </c>
    </row>
    <row r="29" spans="1:23" ht="14">
      <c r="A29" s="42"/>
      <c r="B29" s="12" t="s">
        <v>31</v>
      </c>
      <c r="C29">
        <f t="shared" ref="C29:W29" si="1">(C27-0.0455)/11.005*100</f>
        <v>0.99500227169468414</v>
      </c>
      <c r="D29">
        <f t="shared" si="1"/>
        <v>2.2762380736029075</v>
      </c>
      <c r="E29">
        <f t="shared" si="1"/>
        <v>3.2030895047705585</v>
      </c>
      <c r="F29">
        <f t="shared" si="1"/>
        <v>1.8037255792821445</v>
      </c>
      <c r="G29">
        <f t="shared" si="1"/>
        <v>2.0763289413902775</v>
      </c>
      <c r="H29">
        <f t="shared" si="1"/>
        <v>2.34893230349841</v>
      </c>
      <c r="I29">
        <f t="shared" si="1"/>
        <v>2.294411631076783</v>
      </c>
      <c r="J29">
        <f t="shared" si="1"/>
        <v>1.930940481599273</v>
      </c>
      <c r="K29">
        <f t="shared" si="1"/>
        <v>1.894593366651522</v>
      </c>
      <c r="L29">
        <f t="shared" si="1"/>
        <v>1.6946842344388913</v>
      </c>
      <c r="M29">
        <f t="shared" si="1"/>
        <v>1.9672875965470242</v>
      </c>
      <c r="N29">
        <f t="shared" si="1"/>
        <v>1.9491140390731485</v>
      </c>
      <c r="O29">
        <f t="shared" si="1"/>
        <v>2.485233984552476</v>
      </c>
      <c r="P29">
        <f t="shared" si="1"/>
        <v>2.412539754656974</v>
      </c>
      <c r="Q29">
        <f t="shared" si="1"/>
        <v>1.7582916855974555</v>
      </c>
      <c r="R29">
        <f t="shared" si="1"/>
        <v>2.2489777373920941</v>
      </c>
      <c r="S29">
        <f t="shared" si="1"/>
        <v>2.648796001817356</v>
      </c>
      <c r="T29">
        <f t="shared" si="1"/>
        <v>1.5765561108587005</v>
      </c>
      <c r="U29">
        <f t="shared" si="1"/>
        <v>2.376192639709223</v>
      </c>
      <c r="V29">
        <f t="shared" si="1"/>
        <v>1.8764198091776465</v>
      </c>
      <c r="W29">
        <f t="shared" si="1"/>
        <v>2.8396183552930485</v>
      </c>
    </row>
    <row r="30" spans="1:23" ht="14">
      <c r="A30" s="42" t="s">
        <v>33</v>
      </c>
      <c r="B30" s="12" t="s">
        <v>30</v>
      </c>
      <c r="D30">
        <f t="shared" ref="D30:W30" si="2">D28-0.985915</f>
        <v>1.5265793207632896</v>
      </c>
      <c r="E30">
        <f t="shared" si="2"/>
        <v>2.3353026283507492</v>
      </c>
      <c r="F30">
        <f t="shared" si="2"/>
        <v>1.0268064902317131</v>
      </c>
      <c r="G30">
        <f t="shared" si="2"/>
        <v>1.1994552862335301</v>
      </c>
      <c r="H30">
        <f t="shared" si="2"/>
        <v>1.7174016742389826</v>
      </c>
      <c r="I30">
        <f t="shared" si="2"/>
        <v>1.4357115333939117</v>
      </c>
      <c r="J30">
        <f t="shared" si="2"/>
        <v>1.0631536051794641</v>
      </c>
      <c r="K30">
        <f t="shared" si="2"/>
        <v>1.2267156224443436</v>
      </c>
      <c r="L30">
        <f t="shared" si="2"/>
        <v>0.87233125170377079</v>
      </c>
      <c r="M30">
        <f t="shared" si="2"/>
        <v>1.2539759586551567</v>
      </c>
      <c r="N30">
        <f t="shared" si="2"/>
        <v>1.1176742776010906</v>
      </c>
      <c r="O30">
        <f t="shared" si="2"/>
        <v>1.6356206656065426</v>
      </c>
      <c r="P30">
        <f t="shared" si="2"/>
        <v>1.7537487891867332</v>
      </c>
      <c r="Q30">
        <f t="shared" si="2"/>
        <v>0.78146346433439351</v>
      </c>
      <c r="R30">
        <f t="shared" si="2"/>
        <v>1.4902322058155386</v>
      </c>
      <c r="S30">
        <f t="shared" si="2"/>
        <v>1.3357569672875966</v>
      </c>
      <c r="T30">
        <f t="shared" si="2"/>
        <v>0.41799231485688326</v>
      </c>
      <c r="U30">
        <f t="shared" si="2"/>
        <v>1.2994098523398452</v>
      </c>
      <c r="V30">
        <f t="shared" si="2"/>
        <v>1.2267156224443436</v>
      </c>
      <c r="W30">
        <f t="shared" si="2"/>
        <v>2.0445257087687416</v>
      </c>
    </row>
    <row r="31" spans="1:23" ht="14">
      <c r="A31" s="42"/>
      <c r="B31" s="12" t="s">
        <v>31</v>
      </c>
      <c r="D31">
        <f t="shared" ref="D31:W31" si="3">D29-0.995002</f>
        <v>1.2812360736029076</v>
      </c>
      <c r="E31">
        <f t="shared" si="3"/>
        <v>2.2080875047705586</v>
      </c>
      <c r="F31">
        <f t="shared" si="3"/>
        <v>0.80872357928214444</v>
      </c>
      <c r="G31">
        <f t="shared" si="3"/>
        <v>1.0813269413902775</v>
      </c>
      <c r="H31">
        <f t="shared" si="3"/>
        <v>1.35393030349841</v>
      </c>
      <c r="I31">
        <f t="shared" si="3"/>
        <v>1.2994096310767831</v>
      </c>
      <c r="J31">
        <f t="shared" si="3"/>
        <v>0.93593848159927295</v>
      </c>
      <c r="K31">
        <f t="shared" si="3"/>
        <v>0.89959136665152195</v>
      </c>
      <c r="L31">
        <f t="shared" si="3"/>
        <v>0.69968223443889122</v>
      </c>
      <c r="M31">
        <f t="shared" si="3"/>
        <v>0.97228559654702418</v>
      </c>
      <c r="N31">
        <f t="shared" si="3"/>
        <v>0.95411203907314845</v>
      </c>
      <c r="O31">
        <f t="shared" si="3"/>
        <v>1.4902319845524761</v>
      </c>
      <c r="P31">
        <f t="shared" si="3"/>
        <v>1.4175377546569741</v>
      </c>
      <c r="Q31">
        <f t="shared" si="3"/>
        <v>0.76328968559745547</v>
      </c>
      <c r="R31">
        <f t="shared" si="3"/>
        <v>1.2539757373920941</v>
      </c>
      <c r="S31">
        <f t="shared" si="3"/>
        <v>1.653794001817356</v>
      </c>
      <c r="T31">
        <f t="shared" si="3"/>
        <v>0.58155411085870046</v>
      </c>
      <c r="U31">
        <f t="shared" si="3"/>
        <v>1.3811906397092231</v>
      </c>
      <c r="V31">
        <f t="shared" si="3"/>
        <v>0.88141780917764645</v>
      </c>
      <c r="W31">
        <f t="shared" si="3"/>
        <v>1.8446163552930486</v>
      </c>
    </row>
    <row r="32" spans="1:23" ht="14">
      <c r="A32" s="42" t="s">
        <v>34</v>
      </c>
      <c r="B32" s="12" t="s">
        <v>30</v>
      </c>
      <c r="D32">
        <f t="shared" ref="D32:W32" si="4">D30/342.3*1000000</f>
        <v>4459.7701453791688</v>
      </c>
      <c r="E32">
        <f t="shared" si="4"/>
        <v>6822.3857094675705</v>
      </c>
      <c r="F32">
        <f t="shared" si="4"/>
        <v>2999.7268192571223</v>
      </c>
      <c r="G32">
        <f t="shared" si="4"/>
        <v>3504.1054228265557</v>
      </c>
      <c r="H32">
        <f t="shared" si="4"/>
        <v>5017.2412335348599</v>
      </c>
      <c r="I32">
        <f t="shared" si="4"/>
        <v>4194.3077224478866</v>
      </c>
      <c r="J32">
        <f t="shared" si="4"/>
        <v>3105.9117884296352</v>
      </c>
      <c r="K32">
        <f t="shared" si="4"/>
        <v>3583.7441497059413</v>
      </c>
      <c r="L32">
        <f t="shared" si="4"/>
        <v>2548.4407002739435</v>
      </c>
      <c r="M32">
        <f t="shared" si="4"/>
        <v>3663.3828765853245</v>
      </c>
      <c r="N32">
        <f t="shared" si="4"/>
        <v>3265.189242188404</v>
      </c>
      <c r="O32">
        <f t="shared" si="4"/>
        <v>4778.3250528967064</v>
      </c>
      <c r="P32">
        <f t="shared" si="4"/>
        <v>5123.426202707371</v>
      </c>
      <c r="Q32">
        <f t="shared" si="4"/>
        <v>2282.9782773426628</v>
      </c>
      <c r="R32">
        <f t="shared" si="4"/>
        <v>4353.5851762066568</v>
      </c>
      <c r="S32">
        <f t="shared" si="4"/>
        <v>3902.2990572234785</v>
      </c>
      <c r="T32">
        <f t="shared" si="4"/>
        <v>1221.128585617538</v>
      </c>
      <c r="U32">
        <f t="shared" si="4"/>
        <v>3796.1140880509643</v>
      </c>
      <c r="V32">
        <f t="shared" si="4"/>
        <v>3583.7441497059413</v>
      </c>
      <c r="W32">
        <f t="shared" si="4"/>
        <v>5972.9059560874721</v>
      </c>
    </row>
    <row r="33" spans="1:23" ht="14">
      <c r="A33" s="42"/>
      <c r="B33" s="12" t="s">
        <v>31</v>
      </c>
      <c r="D33">
        <f t="shared" ref="D33:W33" si="5">D31/342.3*1000000</f>
        <v>3743.0209570637089</v>
      </c>
      <c r="E33">
        <f t="shared" si="5"/>
        <v>6450.7376709627761</v>
      </c>
      <c r="F33">
        <f t="shared" si="5"/>
        <v>2362.6163578210471</v>
      </c>
      <c r="G33">
        <f t="shared" si="5"/>
        <v>3159.0036266148918</v>
      </c>
      <c r="H33">
        <f t="shared" si="5"/>
        <v>3955.3908954087347</v>
      </c>
      <c r="I33">
        <f t="shared" si="5"/>
        <v>3796.1134416499654</v>
      </c>
      <c r="J33">
        <f t="shared" si="5"/>
        <v>2734.2637499248403</v>
      </c>
      <c r="K33">
        <f t="shared" si="5"/>
        <v>2628.0787807523279</v>
      </c>
      <c r="L33">
        <f t="shared" si="5"/>
        <v>2044.0614503035092</v>
      </c>
      <c r="M33">
        <f t="shared" si="5"/>
        <v>2840.4487190973537</v>
      </c>
      <c r="N33">
        <f t="shared" si="5"/>
        <v>2787.3562345110968</v>
      </c>
      <c r="O33">
        <f t="shared" si="5"/>
        <v>4353.5845298056556</v>
      </c>
      <c r="P33">
        <f t="shared" si="5"/>
        <v>4141.2145914606308</v>
      </c>
      <c r="Q33">
        <f t="shared" si="5"/>
        <v>2229.8851463554061</v>
      </c>
      <c r="R33">
        <f t="shared" si="5"/>
        <v>3663.3822301843238</v>
      </c>
      <c r="S33">
        <f t="shared" si="5"/>
        <v>4831.4168910819635</v>
      </c>
      <c r="T33">
        <f t="shared" si="5"/>
        <v>1698.9603004928438</v>
      </c>
      <c r="U33">
        <f t="shared" si="5"/>
        <v>4035.0296222881184</v>
      </c>
      <c r="V33">
        <f t="shared" si="5"/>
        <v>2574.986296166072</v>
      </c>
      <c r="W33">
        <f t="shared" si="5"/>
        <v>5388.8879792376529</v>
      </c>
    </row>
    <row r="34" spans="1:23" ht="14">
      <c r="A34" s="42" t="s">
        <v>35</v>
      </c>
      <c r="B34" s="12" t="s">
        <v>30</v>
      </c>
      <c r="D34">
        <f t="shared" ref="D34:W34" si="6">(D32*0.002)/(1*10)*1000</f>
        <v>891.95402907583377</v>
      </c>
      <c r="E34">
        <f t="shared" si="6"/>
        <v>1364.4771418935143</v>
      </c>
      <c r="F34">
        <f t="shared" si="6"/>
        <v>599.94536385142453</v>
      </c>
      <c r="G34">
        <f t="shared" si="6"/>
        <v>700.82108456531114</v>
      </c>
      <c r="H34">
        <f t="shared" si="6"/>
        <v>1003.4482467069721</v>
      </c>
      <c r="I34">
        <f t="shared" si="6"/>
        <v>838.86154448957723</v>
      </c>
      <c r="J34">
        <f t="shared" si="6"/>
        <v>621.18235768592695</v>
      </c>
      <c r="K34">
        <f t="shared" si="6"/>
        <v>716.74882994118832</v>
      </c>
      <c r="L34">
        <f t="shared" si="6"/>
        <v>509.68814005478868</v>
      </c>
      <c r="M34">
        <f t="shared" si="6"/>
        <v>732.67657531706493</v>
      </c>
      <c r="N34">
        <f t="shared" si="6"/>
        <v>653.03784843768074</v>
      </c>
      <c r="O34">
        <f t="shared" si="6"/>
        <v>955.66501057934124</v>
      </c>
      <c r="P34">
        <f t="shared" si="6"/>
        <v>1024.6852405414741</v>
      </c>
      <c r="Q34">
        <f t="shared" si="6"/>
        <v>456.59565546853258</v>
      </c>
      <c r="R34">
        <f t="shared" si="6"/>
        <v>870.71703524133136</v>
      </c>
      <c r="S34">
        <f t="shared" si="6"/>
        <v>780.45981144469567</v>
      </c>
      <c r="T34">
        <f t="shared" si="6"/>
        <v>244.22571712350759</v>
      </c>
      <c r="U34">
        <f t="shared" si="6"/>
        <v>759.22281761019292</v>
      </c>
      <c r="V34">
        <f t="shared" si="6"/>
        <v>716.74882994118832</v>
      </c>
      <c r="W34">
        <f t="shared" si="6"/>
        <v>1194.5811912174945</v>
      </c>
    </row>
    <row r="35" spans="1:23" ht="14">
      <c r="A35" s="42"/>
      <c r="B35" s="12" t="s">
        <v>31</v>
      </c>
      <c r="D35">
        <f t="shared" ref="D35:W35" si="7">(D33*0.002)/(1*10)*1000</f>
        <v>748.60419141274178</v>
      </c>
      <c r="E35">
        <f t="shared" si="7"/>
        <v>1290.1475341925552</v>
      </c>
      <c r="F35">
        <f t="shared" si="7"/>
        <v>472.52327156420944</v>
      </c>
      <c r="G35">
        <f t="shared" si="7"/>
        <v>631.80072532297834</v>
      </c>
      <c r="H35">
        <f t="shared" si="7"/>
        <v>791.07817908174695</v>
      </c>
      <c r="I35">
        <f t="shared" si="7"/>
        <v>759.22268832999305</v>
      </c>
      <c r="J35">
        <f t="shared" si="7"/>
        <v>546.852749984968</v>
      </c>
      <c r="K35">
        <f t="shared" si="7"/>
        <v>525.61575615046559</v>
      </c>
      <c r="L35">
        <f t="shared" si="7"/>
        <v>408.81229006070186</v>
      </c>
      <c r="M35">
        <f t="shared" si="7"/>
        <v>568.08974381947075</v>
      </c>
      <c r="N35">
        <f t="shared" si="7"/>
        <v>557.47124690221938</v>
      </c>
      <c r="O35">
        <f t="shared" si="7"/>
        <v>870.71690596113115</v>
      </c>
      <c r="P35">
        <f t="shared" si="7"/>
        <v>828.24291829212621</v>
      </c>
      <c r="Q35">
        <f t="shared" si="7"/>
        <v>445.97702927108116</v>
      </c>
      <c r="R35">
        <f t="shared" si="7"/>
        <v>732.67644603686472</v>
      </c>
      <c r="S35">
        <f t="shared" si="7"/>
        <v>966.28337821639275</v>
      </c>
      <c r="T35">
        <f t="shared" si="7"/>
        <v>339.79206009856875</v>
      </c>
      <c r="U35">
        <f t="shared" si="7"/>
        <v>807.00592445762379</v>
      </c>
      <c r="V35">
        <f t="shared" si="7"/>
        <v>514.99725923321432</v>
      </c>
      <c r="W35">
        <f t="shared" si="7"/>
        <v>1077.7775958475306</v>
      </c>
    </row>
    <row r="36" spans="1:23" ht="14">
      <c r="A36" s="13"/>
      <c r="B36" s="14" t="s">
        <v>36</v>
      </c>
      <c r="D36">
        <f t="shared" ref="D36:W36" si="8">AVERAGE(D34:D35)</f>
        <v>820.27911024428772</v>
      </c>
      <c r="E36">
        <f t="shared" si="8"/>
        <v>1327.3123380430347</v>
      </c>
      <c r="F36">
        <f t="shared" si="8"/>
        <v>536.23431770781701</v>
      </c>
      <c r="G36">
        <f t="shared" si="8"/>
        <v>666.3109049441448</v>
      </c>
      <c r="H36">
        <f t="shared" si="8"/>
        <v>897.26321289435953</v>
      </c>
      <c r="I36">
        <f t="shared" si="8"/>
        <v>799.04211640978519</v>
      </c>
      <c r="J36">
        <f t="shared" si="8"/>
        <v>584.01755383544742</v>
      </c>
      <c r="K36">
        <f t="shared" si="8"/>
        <v>621.18229304582701</v>
      </c>
      <c r="L36">
        <f t="shared" si="8"/>
        <v>459.25021505774527</v>
      </c>
      <c r="M36">
        <f t="shared" si="8"/>
        <v>650.38315956826784</v>
      </c>
      <c r="N36">
        <f t="shared" si="8"/>
        <v>605.25454766995006</v>
      </c>
      <c r="O36">
        <f t="shared" si="8"/>
        <v>913.19095827023625</v>
      </c>
      <c r="P36">
        <f t="shared" si="8"/>
        <v>926.46407941680013</v>
      </c>
      <c r="Q36">
        <f t="shared" si="8"/>
        <v>451.2863423698069</v>
      </c>
      <c r="R36">
        <f t="shared" si="8"/>
        <v>801.69674063909804</v>
      </c>
      <c r="S36">
        <f t="shared" si="8"/>
        <v>873.37159483054415</v>
      </c>
      <c r="T36">
        <f t="shared" si="8"/>
        <v>292.00888861103817</v>
      </c>
      <c r="U36">
        <f t="shared" si="8"/>
        <v>783.11437103390836</v>
      </c>
      <c r="V36">
        <f t="shared" si="8"/>
        <v>615.87304458720132</v>
      </c>
      <c r="W36">
        <f t="shared" si="8"/>
        <v>1136.1793935325127</v>
      </c>
    </row>
    <row r="37" spans="1:23" ht="14">
      <c r="A37" s="13"/>
      <c r="B37" s="14" t="s">
        <v>37</v>
      </c>
      <c r="D37">
        <f t="shared" ref="D37:W37" si="9">STDEV(D34:D35)</f>
        <v>101.36364229356309</v>
      </c>
      <c r="E37">
        <f t="shared" si="9"/>
        <v>52.558969648283977</v>
      </c>
      <c r="F37">
        <f t="shared" si="9"/>
        <v>90.101025529267304</v>
      </c>
      <c r="G37">
        <f t="shared" si="9"/>
        <v>48.804764060185121</v>
      </c>
      <c r="H37">
        <f t="shared" si="9"/>
        <v>150.16831493884243</v>
      </c>
      <c r="I37">
        <f t="shared" si="9"/>
        <v>56.313175236382023</v>
      </c>
      <c r="J37">
        <f t="shared" si="9"/>
        <v>52.558969648283899</v>
      </c>
      <c r="K37">
        <f t="shared" si="9"/>
        <v>135.15149258644817</v>
      </c>
      <c r="L37">
        <f t="shared" si="9"/>
        <v>71.329997588775399</v>
      </c>
      <c r="M37">
        <f t="shared" si="9"/>
        <v>116.38046464595608</v>
      </c>
      <c r="N37">
        <f t="shared" si="9"/>
        <v>67.575792000677453</v>
      </c>
      <c r="O37">
        <f t="shared" si="9"/>
        <v>60.067380824480637</v>
      </c>
      <c r="P37">
        <f t="shared" si="9"/>
        <v>138.90569817454673</v>
      </c>
      <c r="Q37">
        <f t="shared" si="9"/>
        <v>7.5085025911030217</v>
      </c>
      <c r="R37">
        <f t="shared" si="9"/>
        <v>97.609436705464887</v>
      </c>
      <c r="S37">
        <f t="shared" si="9"/>
        <v>131.39710416853814</v>
      </c>
      <c r="T37">
        <f t="shared" si="9"/>
        <v>67.575609170865036</v>
      </c>
      <c r="U37">
        <f t="shared" si="9"/>
        <v>33.787758877979719</v>
      </c>
      <c r="V37">
        <f t="shared" si="9"/>
        <v>142.65990376264523</v>
      </c>
      <c r="W37">
        <f t="shared" si="9"/>
        <v>82.592614353071085</v>
      </c>
    </row>
    <row r="50" spans="6:6">
      <c r="F50" t="s">
        <v>58</v>
      </c>
    </row>
  </sheetData>
  <mergeCells count="5">
    <mergeCell ref="A26:A27"/>
    <mergeCell ref="A28:A29"/>
    <mergeCell ref="A30:A31"/>
    <mergeCell ref="A32:A33"/>
    <mergeCell ref="A34:A35"/>
  </mergeCells>
  <phoneticPr fontId="8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5852-5BB8-4EAC-B532-C9439762CAEE}">
  <dimension ref="A2:Y35"/>
  <sheetViews>
    <sheetView topLeftCell="C1" workbookViewId="0">
      <selection activeCell="E28" sqref="E28"/>
    </sheetView>
  </sheetViews>
  <sheetFormatPr baseColWidth="10" defaultColWidth="8.83203125" defaultRowHeight="13"/>
  <cols>
    <col min="1" max="1" width="20.6640625" customWidth="1"/>
    <col min="2" max="2" width="12.6640625" customWidth="1"/>
  </cols>
  <sheetData>
    <row r="2" spans="4:9" ht="14">
      <c r="D2" s="15" t="s">
        <v>39</v>
      </c>
      <c r="E2" s="19">
        <v>0</v>
      </c>
      <c r="F2" s="19">
        <v>0.01</v>
      </c>
      <c r="G2" s="19">
        <v>0.02</v>
      </c>
      <c r="H2" s="19">
        <v>0.04</v>
      </c>
      <c r="I2" s="19">
        <v>0.05</v>
      </c>
    </row>
    <row r="3" spans="4:9">
      <c r="D3" t="s">
        <v>40</v>
      </c>
      <c r="E3" s="3">
        <v>4.5999999999999999E-2</v>
      </c>
      <c r="F3" s="2">
        <v>0.154</v>
      </c>
      <c r="G3" s="9">
        <v>0.26500000000000001</v>
      </c>
      <c r="H3" s="20">
        <v>0.49099999999999999</v>
      </c>
      <c r="I3" s="4">
        <v>0.59199999999999997</v>
      </c>
    </row>
    <row r="23" spans="1:25">
      <c r="C23" t="s">
        <v>28</v>
      </c>
      <c r="D23" t="s">
        <v>148</v>
      </c>
      <c r="E23" t="s">
        <v>149</v>
      </c>
      <c r="F23" t="s">
        <v>150</v>
      </c>
      <c r="G23" t="s">
        <v>151</v>
      </c>
      <c r="H23" t="s">
        <v>152</v>
      </c>
      <c r="I23" t="s">
        <v>153</v>
      </c>
      <c r="J23" t="s">
        <v>154</v>
      </c>
      <c r="K23" t="s">
        <v>155</v>
      </c>
      <c r="L23" t="s">
        <v>156</v>
      </c>
      <c r="M23" t="s">
        <v>157</v>
      </c>
      <c r="N23" t="s">
        <v>158</v>
      </c>
      <c r="O23" t="s">
        <v>159</v>
      </c>
      <c r="P23" t="s">
        <v>160</v>
      </c>
      <c r="Q23" t="s">
        <v>161</v>
      </c>
      <c r="R23" s="26" t="s">
        <v>162</v>
      </c>
      <c r="S23" s="26" t="s">
        <v>163</v>
      </c>
      <c r="T23" s="26" t="s">
        <v>164</v>
      </c>
      <c r="U23" s="26" t="s">
        <v>165</v>
      </c>
      <c r="V23" s="26" t="s">
        <v>166</v>
      </c>
      <c r="W23" s="26" t="s">
        <v>167</v>
      </c>
      <c r="X23" s="26" t="s">
        <v>168</v>
      </c>
      <c r="Y23" s="26" t="s">
        <v>169</v>
      </c>
    </row>
    <row r="24" spans="1:25" ht="14">
      <c r="A24" s="43" t="s">
        <v>29</v>
      </c>
      <c r="B24" s="12" t="s">
        <v>30</v>
      </c>
      <c r="C24" s="16">
        <v>0.16900000000000001</v>
      </c>
      <c r="D24" s="16">
        <v>0.27900000000000003</v>
      </c>
      <c r="E24" s="16">
        <v>0.19</v>
      </c>
      <c r="F24" s="16">
        <v>0.42299999999999999</v>
      </c>
      <c r="G24" s="16">
        <v>0.17499999999999999</v>
      </c>
      <c r="H24" s="16">
        <v>0.36099999999999999</v>
      </c>
      <c r="I24" s="16">
        <v>0.38900000000000001</v>
      </c>
      <c r="J24" s="16">
        <v>0.184</v>
      </c>
      <c r="K24" s="16">
        <v>0.25900000000000001</v>
      </c>
      <c r="L24" s="16">
        <v>0.17899999999999999</v>
      </c>
      <c r="M24" s="16">
        <v>0.20300000000000001</v>
      </c>
      <c r="N24" s="16">
        <v>0.22900000000000001</v>
      </c>
      <c r="O24" s="16">
        <v>0.35299999999999998</v>
      </c>
      <c r="P24" s="16">
        <v>0.373</v>
      </c>
      <c r="Q24" s="16">
        <v>0.18099999999999999</v>
      </c>
      <c r="R24">
        <v>0.36782275132275127</v>
      </c>
      <c r="S24">
        <v>0.23615079365079364</v>
      </c>
      <c r="T24">
        <v>0.22470105820105818</v>
      </c>
      <c r="U24">
        <v>0.23185714285714284</v>
      </c>
      <c r="V24">
        <v>0.33633597883597877</v>
      </c>
      <c r="W24">
        <v>0.30055555555555552</v>
      </c>
      <c r="X24">
        <v>0.22326984126984126</v>
      </c>
      <c r="Y24">
        <v>0.37622486772486802</v>
      </c>
    </row>
    <row r="25" spans="1:25" ht="14">
      <c r="A25" s="43"/>
      <c r="B25" s="12" t="s">
        <v>31</v>
      </c>
      <c r="C25" s="16">
        <v>0.16900000000000001</v>
      </c>
      <c r="D25" s="16">
        <v>0.26900000000000002</v>
      </c>
      <c r="E25" s="16">
        <v>0.184</v>
      </c>
      <c r="F25" s="16">
        <v>0.42499999999999999</v>
      </c>
      <c r="G25" s="16">
        <v>0.17799999999999999</v>
      </c>
      <c r="H25" s="16">
        <v>0.35399999999999998</v>
      </c>
      <c r="I25" s="16">
        <v>0.38700000000000001</v>
      </c>
      <c r="J25" s="16">
        <v>0.182</v>
      </c>
      <c r="K25" s="16">
        <v>0.26600000000000001</v>
      </c>
      <c r="L25" s="16">
        <v>0.17899999999999999</v>
      </c>
      <c r="M25" s="16">
        <v>0.19900000000000001</v>
      </c>
      <c r="N25" s="16">
        <v>0.249</v>
      </c>
      <c r="O25" s="16">
        <v>0.375</v>
      </c>
      <c r="P25" s="16">
        <v>0.374</v>
      </c>
      <c r="Q25" s="16">
        <v>0.188</v>
      </c>
      <c r="R25">
        <v>0.40932804232804226</v>
      </c>
      <c r="S25">
        <v>0.22040740740740739</v>
      </c>
      <c r="T25">
        <v>0.22040740740740739</v>
      </c>
      <c r="U25">
        <v>0.23185714285714284</v>
      </c>
      <c r="V25">
        <v>0.30198677248677247</v>
      </c>
      <c r="W25">
        <v>0.35923544973544969</v>
      </c>
      <c r="X25">
        <v>0.22899470899470897</v>
      </c>
      <c r="Y25">
        <v>0.35481216931216902</v>
      </c>
    </row>
    <row r="26" spans="1:25" ht="14">
      <c r="A26" s="42" t="s">
        <v>32</v>
      </c>
      <c r="B26" s="12" t="s">
        <v>30</v>
      </c>
      <c r="C26">
        <f>(C24-0.0455)/11.005*100</f>
        <v>1.1222171740118128</v>
      </c>
      <c r="D26">
        <f t="shared" ref="D26:Q27" si="0">(D24-0.0455)/11.005*100</f>
        <v>2.121762835074966</v>
      </c>
      <c r="E26">
        <f t="shared" si="0"/>
        <v>1.3130395274875057</v>
      </c>
      <c r="F26">
        <f t="shared" si="0"/>
        <v>3.4302589731940025</v>
      </c>
      <c r="G26">
        <f t="shared" si="0"/>
        <v>1.1767378464334393</v>
      </c>
      <c r="H26">
        <f t="shared" si="0"/>
        <v>2.8668786915038615</v>
      </c>
      <c r="I26">
        <f t="shared" si="0"/>
        <v>3.121308496138119</v>
      </c>
      <c r="J26">
        <f t="shared" si="0"/>
        <v>1.2585188550658792</v>
      </c>
      <c r="K26">
        <f t="shared" si="0"/>
        <v>1.940027260336211</v>
      </c>
      <c r="L26">
        <f t="shared" si="0"/>
        <v>1.2130849613811903</v>
      </c>
      <c r="M26">
        <f t="shared" si="0"/>
        <v>1.4311676510676967</v>
      </c>
      <c r="N26">
        <f t="shared" si="0"/>
        <v>1.6674238982280778</v>
      </c>
      <c r="O26">
        <f t="shared" si="0"/>
        <v>2.7941844616083595</v>
      </c>
      <c r="P26">
        <f t="shared" si="0"/>
        <v>2.975920036347115</v>
      </c>
      <c r="Q26">
        <f t="shared" si="0"/>
        <v>1.2312585188550658</v>
      </c>
      <c r="R26">
        <v>2.9288755231508521</v>
      </c>
      <c r="S26">
        <v>1.7324015779263391</v>
      </c>
      <c r="T26">
        <v>1.6283603652981209</v>
      </c>
      <c r="U26">
        <v>1.693386123190757</v>
      </c>
      <c r="V26">
        <v>2.6427621884232511</v>
      </c>
      <c r="W26">
        <v>2.3176333989600684</v>
      </c>
      <c r="X26">
        <v>1.6153552137195932</v>
      </c>
      <c r="Y26">
        <v>3.0052236958188825</v>
      </c>
    </row>
    <row r="27" spans="1:25" ht="14">
      <c r="A27" s="42"/>
      <c r="B27" s="12" t="s">
        <v>31</v>
      </c>
      <c r="C27">
        <f>(C25-0.0455)/11.005*100</f>
        <v>1.1222171740118128</v>
      </c>
      <c r="D27">
        <f t="shared" si="0"/>
        <v>2.0308950477055885</v>
      </c>
      <c r="E27">
        <f t="shared" si="0"/>
        <v>1.2585188550658792</v>
      </c>
      <c r="F27">
        <f t="shared" si="0"/>
        <v>3.4484325306678785</v>
      </c>
      <c r="G27">
        <f t="shared" si="0"/>
        <v>1.2039981826442525</v>
      </c>
      <c r="H27">
        <f t="shared" si="0"/>
        <v>2.8032712403452975</v>
      </c>
      <c r="I27">
        <f t="shared" si="0"/>
        <v>3.1031349386642435</v>
      </c>
      <c r="J27">
        <f t="shared" si="0"/>
        <v>1.2403452975920037</v>
      </c>
      <c r="K27">
        <f t="shared" si="0"/>
        <v>2.003634711494775</v>
      </c>
      <c r="L27">
        <f t="shared" si="0"/>
        <v>1.2130849613811903</v>
      </c>
      <c r="M27">
        <f t="shared" si="0"/>
        <v>1.3948205361199455</v>
      </c>
      <c r="N27">
        <f t="shared" si="0"/>
        <v>1.8491594729668333</v>
      </c>
      <c r="O27">
        <f t="shared" si="0"/>
        <v>2.9940935938209905</v>
      </c>
      <c r="P27">
        <f t="shared" si="0"/>
        <v>2.9850068150840525</v>
      </c>
      <c r="Q27">
        <f t="shared" si="0"/>
        <v>1.2948659700136302</v>
      </c>
      <c r="R27">
        <v>3.3060249189281437</v>
      </c>
      <c r="S27">
        <v>1.5893449105625388</v>
      </c>
      <c r="T27">
        <v>1.5893449105625388</v>
      </c>
      <c r="U27">
        <v>1.693386123190757</v>
      </c>
      <c r="V27">
        <v>2.3306385505385956</v>
      </c>
      <c r="W27">
        <v>2.8508446136796883</v>
      </c>
      <c r="X27">
        <v>1.6673758200337025</v>
      </c>
      <c r="Y27">
        <v>2.8106512431819084</v>
      </c>
    </row>
    <row r="28" spans="1:25" ht="14">
      <c r="A28" s="42" t="s">
        <v>33</v>
      </c>
      <c r="B28" s="12" t="s">
        <v>30</v>
      </c>
      <c r="D28">
        <f>D26-$C$26</f>
        <v>0.99954566106315323</v>
      </c>
      <c r="E28">
        <f t="shared" ref="E28:L28" si="1">E26-$C$26</f>
        <v>0.19082235347569299</v>
      </c>
      <c r="F28">
        <f t="shared" si="1"/>
        <v>2.30804179918219</v>
      </c>
      <c r="G28">
        <f t="shared" si="1"/>
        <v>5.4520672421626504E-2</v>
      </c>
      <c r="H28">
        <f t="shared" si="1"/>
        <v>1.7446615174920488</v>
      </c>
      <c r="I28">
        <f t="shared" si="1"/>
        <v>1.9990913221263062</v>
      </c>
      <c r="J28">
        <f t="shared" si="1"/>
        <v>0.13630168105406648</v>
      </c>
      <c r="K28">
        <f t="shared" si="1"/>
        <v>0.81781008632439822</v>
      </c>
      <c r="L28">
        <f t="shared" si="1"/>
        <v>9.0867787369377506E-2</v>
      </c>
      <c r="M28">
        <f>M26-$C$26</f>
        <v>0.30895047705588397</v>
      </c>
      <c r="N28">
        <f>N26-$C$26</f>
        <v>0.54520672421626504</v>
      </c>
      <c r="O28">
        <f>O26-$C$26</f>
        <v>1.6719672875965468</v>
      </c>
      <c r="P28">
        <f>P26-$C$26</f>
        <v>1.8537028623353022</v>
      </c>
      <c r="Q28">
        <f>Q26-$C$26</f>
        <v>0.10904134484325301</v>
      </c>
      <c r="R28">
        <v>1.9247864727192301</v>
      </c>
      <c r="S28">
        <v>0.72831252749471709</v>
      </c>
      <c r="T28">
        <v>0.62427131486649889</v>
      </c>
      <c r="U28">
        <v>0.68929707275913499</v>
      </c>
      <c r="V28">
        <v>1.6386731379916291</v>
      </c>
      <c r="W28">
        <v>1.3135443485284464</v>
      </c>
      <c r="X28">
        <v>0.61126616328797123</v>
      </c>
      <c r="Y28">
        <v>2.0011346453872605</v>
      </c>
    </row>
    <row r="29" spans="1:25" ht="14">
      <c r="A29" s="42"/>
      <c r="B29" s="12" t="s">
        <v>31</v>
      </c>
      <c r="D29">
        <f>D27-$C$27</f>
        <v>0.90867787369377573</v>
      </c>
      <c r="E29">
        <f t="shared" ref="E29:L29" si="2">E27-$C$27</f>
        <v>0.13630168105406648</v>
      </c>
      <c r="F29">
        <f t="shared" si="2"/>
        <v>2.3262153566560659</v>
      </c>
      <c r="G29">
        <f t="shared" si="2"/>
        <v>8.1781008632439756E-2</v>
      </c>
      <c r="H29">
        <f t="shared" si="2"/>
        <v>1.6810540663334848</v>
      </c>
      <c r="I29">
        <f t="shared" si="2"/>
        <v>1.9809177646524307</v>
      </c>
      <c r="J29">
        <f t="shared" si="2"/>
        <v>0.11812812358019098</v>
      </c>
      <c r="K29">
        <f t="shared" si="2"/>
        <v>0.88141753748296225</v>
      </c>
      <c r="L29">
        <f t="shared" si="2"/>
        <v>9.0867787369377506E-2</v>
      </c>
      <c r="M29">
        <f>M27-$C$27</f>
        <v>0.27260336210813274</v>
      </c>
      <c r="N29">
        <f>N27-$C$27</f>
        <v>0.72694229895502049</v>
      </c>
      <c r="O29">
        <f>O27-$C$27</f>
        <v>1.8718764198091777</v>
      </c>
      <c r="P29">
        <f>P27-$C$27</f>
        <v>1.8627896410722398</v>
      </c>
      <c r="Q29">
        <f>Q27-$C$27</f>
        <v>0.17264879600181748</v>
      </c>
      <c r="R29">
        <v>2.2565019748118331</v>
      </c>
      <c r="S29">
        <v>0.53982196644622804</v>
      </c>
      <c r="T29">
        <v>0.53982196644622804</v>
      </c>
      <c r="U29">
        <v>0.64386317907444623</v>
      </c>
      <c r="V29">
        <v>1.2811156064222848</v>
      </c>
      <c r="W29">
        <v>1.8013216695633776</v>
      </c>
      <c r="X29">
        <v>0.6178528759173918</v>
      </c>
      <c r="Y29">
        <v>1.7611282990655976</v>
      </c>
    </row>
    <row r="30" spans="1:25" ht="14">
      <c r="A30" s="42" t="s">
        <v>34</v>
      </c>
      <c r="B30" s="12" t="s">
        <v>30</v>
      </c>
      <c r="D30">
        <f>D28/342.3*1000000</f>
        <v>2920.0866522440933</v>
      </c>
      <c r="E30">
        <f t="shared" ref="E30:Q31" si="3">E28/342.3*1000000</f>
        <v>557.47108815569095</v>
      </c>
      <c r="F30">
        <f t="shared" si="3"/>
        <v>6742.7455424545424</v>
      </c>
      <c r="G30">
        <f t="shared" si="3"/>
        <v>159.27745375876864</v>
      </c>
      <c r="H30">
        <f t="shared" si="3"/>
        <v>5096.8785202805984</v>
      </c>
      <c r="I30">
        <f t="shared" si="3"/>
        <v>5840.1733044881857</v>
      </c>
      <c r="J30">
        <f t="shared" si="3"/>
        <v>398.19363439692222</v>
      </c>
      <c r="K30">
        <f t="shared" si="3"/>
        <v>2389.1618063815313</v>
      </c>
      <c r="L30">
        <f t="shared" si="3"/>
        <v>265.46242293128103</v>
      </c>
      <c r="M30">
        <f t="shared" si="3"/>
        <v>902.57223796635685</v>
      </c>
      <c r="N30">
        <f t="shared" si="3"/>
        <v>1592.7745375876864</v>
      </c>
      <c r="O30">
        <f t="shared" si="3"/>
        <v>4884.5085819355736</v>
      </c>
      <c r="P30">
        <f t="shared" si="3"/>
        <v>5415.433427798137</v>
      </c>
      <c r="Q30">
        <f t="shared" si="3"/>
        <v>318.55490751753729</v>
      </c>
      <c r="R30">
        <v>5623.0980798107803</v>
      </c>
      <c r="S30">
        <v>2127.7023882404824</v>
      </c>
      <c r="T30">
        <v>1823.7549367995878</v>
      </c>
      <c r="U30">
        <v>2013.7220939501462</v>
      </c>
      <c r="V30">
        <v>4787.2425883483174</v>
      </c>
      <c r="W30">
        <v>3837.4068025955194</v>
      </c>
      <c r="X30">
        <v>1785.7615053694749</v>
      </c>
      <c r="Y30">
        <v>5846.1426975964368</v>
      </c>
    </row>
    <row r="31" spans="1:25" ht="14">
      <c r="A31" s="42"/>
      <c r="B31" s="12" t="s">
        <v>31</v>
      </c>
      <c r="D31">
        <f>D29/342.3*1000000</f>
        <v>2654.6242293128125</v>
      </c>
      <c r="E31">
        <f t="shared" si="3"/>
        <v>398.19363439692222</v>
      </c>
      <c r="F31">
        <f t="shared" si="3"/>
        <v>6795.8380270408006</v>
      </c>
      <c r="G31">
        <f t="shared" si="3"/>
        <v>238.91618063815295</v>
      </c>
      <c r="H31">
        <f t="shared" si="3"/>
        <v>4911.0548242287023</v>
      </c>
      <c r="I31">
        <f t="shared" si="3"/>
        <v>5787.0808199019302</v>
      </c>
      <c r="J31">
        <f t="shared" si="3"/>
        <v>345.10114981066602</v>
      </c>
      <c r="K31">
        <f t="shared" si="3"/>
        <v>2574.9855024334274</v>
      </c>
      <c r="L31">
        <f t="shared" si="3"/>
        <v>265.46242293128103</v>
      </c>
      <c r="M31">
        <f t="shared" si="3"/>
        <v>796.38726879384376</v>
      </c>
      <c r="N31">
        <f t="shared" si="3"/>
        <v>2123.6993834502496</v>
      </c>
      <c r="O31">
        <f t="shared" si="3"/>
        <v>5468.5259123843925</v>
      </c>
      <c r="P31">
        <f t="shared" si="3"/>
        <v>5441.9796700912639</v>
      </c>
      <c r="Q31">
        <f t="shared" si="3"/>
        <v>504.37860356943463</v>
      </c>
      <c r="R31">
        <v>6592.1763798183847</v>
      </c>
      <c r="S31">
        <v>1577.043431043611</v>
      </c>
      <c r="T31">
        <v>1577.043431043611</v>
      </c>
      <c r="U31">
        <v>1880.9908824845056</v>
      </c>
      <c r="V31">
        <v>3742.6690225599905</v>
      </c>
      <c r="W31">
        <v>5262.4062797644683</v>
      </c>
      <c r="X31">
        <v>1805.0040196242821</v>
      </c>
      <c r="Y31">
        <v>5144.9848059176084</v>
      </c>
    </row>
    <row r="32" spans="1:25" ht="14">
      <c r="A32" s="42" t="s">
        <v>35</v>
      </c>
      <c r="B32" s="12" t="s">
        <v>30</v>
      </c>
      <c r="D32">
        <f>(D30*0.002)/(1*10)*1000</f>
        <v>584.0173304488186</v>
      </c>
      <c r="E32">
        <f t="shared" ref="E32:Q33" si="4">(E30*0.002)/(1*10)*1000</f>
        <v>111.49421763113817</v>
      </c>
      <c r="F32">
        <f t="shared" si="4"/>
        <v>1348.5491084909086</v>
      </c>
      <c r="G32">
        <f t="shared" si="4"/>
        <v>31.855490751753727</v>
      </c>
      <c r="H32">
        <f t="shared" si="4"/>
        <v>1019.3757040561197</v>
      </c>
      <c r="I32">
        <f t="shared" si="4"/>
        <v>1168.034660897637</v>
      </c>
      <c r="J32">
        <f t="shared" si="4"/>
        <v>79.63872687938445</v>
      </c>
      <c r="K32">
        <f t="shared" si="4"/>
        <v>477.8323612763063</v>
      </c>
      <c r="L32">
        <f t="shared" si="4"/>
        <v>53.092484586256205</v>
      </c>
      <c r="M32">
        <f t="shared" si="4"/>
        <v>180.51444759327137</v>
      </c>
      <c r="N32">
        <f t="shared" si="4"/>
        <v>318.55490751753729</v>
      </c>
      <c r="O32">
        <f t="shared" si="4"/>
        <v>976.90171638711479</v>
      </c>
      <c r="P32">
        <f t="shared" si="4"/>
        <v>1083.0866855596275</v>
      </c>
      <c r="Q32">
        <f t="shared" si="4"/>
        <v>63.710981503507455</v>
      </c>
      <c r="R32">
        <v>1124.6196159621561</v>
      </c>
      <c r="S32">
        <v>425.54047764809656</v>
      </c>
      <c r="T32">
        <v>364.75098735991759</v>
      </c>
      <c r="U32">
        <v>402.74441879002927</v>
      </c>
      <c r="V32">
        <v>957.4485176696636</v>
      </c>
      <c r="W32">
        <v>767.48136051910387</v>
      </c>
      <c r="X32">
        <v>357.15230107389493</v>
      </c>
      <c r="Y32">
        <v>1169.2285395192873</v>
      </c>
    </row>
    <row r="33" spans="1:25" ht="14">
      <c r="A33" s="42"/>
      <c r="B33" s="12" t="s">
        <v>31</v>
      </c>
      <c r="D33">
        <f>(D31*0.002)/(1*10)*1000</f>
        <v>530.92484586256251</v>
      </c>
      <c r="E33">
        <f t="shared" si="4"/>
        <v>79.63872687938445</v>
      </c>
      <c r="F33">
        <f t="shared" si="4"/>
        <v>1359.1676054081602</v>
      </c>
      <c r="G33">
        <f t="shared" si="4"/>
        <v>47.783236127630595</v>
      </c>
      <c r="H33">
        <f t="shared" si="4"/>
        <v>982.21096484574048</v>
      </c>
      <c r="I33">
        <f t="shared" si="4"/>
        <v>1157.416163980386</v>
      </c>
      <c r="J33">
        <f t="shared" si="4"/>
        <v>69.020229962133214</v>
      </c>
      <c r="K33">
        <f t="shared" si="4"/>
        <v>514.99710048668555</v>
      </c>
      <c r="L33">
        <f t="shared" si="4"/>
        <v>53.092484586256205</v>
      </c>
      <c r="M33">
        <f t="shared" si="4"/>
        <v>159.27745375876876</v>
      </c>
      <c r="N33">
        <f t="shared" si="4"/>
        <v>424.73987669004993</v>
      </c>
      <c r="O33">
        <f t="shared" si="4"/>
        <v>1093.7051824768785</v>
      </c>
      <c r="P33">
        <f t="shared" si="4"/>
        <v>1088.3959340182528</v>
      </c>
      <c r="Q33">
        <f t="shared" si="4"/>
        <v>100.87572071388692</v>
      </c>
      <c r="R33">
        <v>1318.435275963677</v>
      </c>
      <c r="S33">
        <v>315.4086862087222</v>
      </c>
      <c r="T33">
        <v>315.4086862087222</v>
      </c>
      <c r="U33">
        <v>376.19817649690111</v>
      </c>
      <c r="V33">
        <v>748.53380451199814</v>
      </c>
      <c r="W33">
        <v>1052.4812559528937</v>
      </c>
      <c r="X33">
        <v>361.00080392485643</v>
      </c>
      <c r="Y33">
        <v>1028.9969611835218</v>
      </c>
    </row>
    <row r="34" spans="1:25" ht="14">
      <c r="A34" s="13"/>
      <c r="B34" s="14" t="s">
        <v>36</v>
      </c>
      <c r="D34">
        <f>AVERAGE(D32:D33)</f>
        <v>557.4710881556905</v>
      </c>
      <c r="E34">
        <f t="shared" ref="E34:L34" si="5">AVERAGE(E32:E33)</f>
        <v>95.566472255261317</v>
      </c>
      <c r="F34">
        <f t="shared" si="5"/>
        <v>1353.8583569495345</v>
      </c>
      <c r="G34">
        <f t="shared" si="5"/>
        <v>39.819363439692161</v>
      </c>
      <c r="H34">
        <f t="shared" si="5"/>
        <v>1000.7933344509302</v>
      </c>
      <c r="I34">
        <f t="shared" si="5"/>
        <v>1162.7254124390115</v>
      </c>
      <c r="J34">
        <f t="shared" si="5"/>
        <v>74.329478420758832</v>
      </c>
      <c r="K34">
        <f t="shared" si="5"/>
        <v>496.41473088149593</v>
      </c>
      <c r="L34">
        <f t="shared" si="5"/>
        <v>53.092484586256205</v>
      </c>
      <c r="M34">
        <f>AVERAGE(M32:M33)</f>
        <v>169.89595067602005</v>
      </c>
      <c r="N34">
        <f>AVERAGE(N32:N33)</f>
        <v>371.64739210379361</v>
      </c>
      <c r="O34">
        <f>AVERAGE(O32:O33)</f>
        <v>1035.3034494319966</v>
      </c>
      <c r="P34">
        <f>AVERAGE(P32:P33)</f>
        <v>1085.7413097889403</v>
      </c>
      <c r="Q34">
        <f>AVERAGE(Q32:Q33)</f>
        <v>82.293351108697181</v>
      </c>
      <c r="R34">
        <v>1221.5274459629165</v>
      </c>
      <c r="S34">
        <v>370.47458192840941</v>
      </c>
      <c r="T34">
        <v>340.07983678431992</v>
      </c>
      <c r="U34">
        <v>389.47129764346516</v>
      </c>
      <c r="V34">
        <v>852.99116109083093</v>
      </c>
      <c r="W34">
        <v>909.98130823599877</v>
      </c>
      <c r="X34">
        <v>359.07655249937568</v>
      </c>
      <c r="Y34">
        <v>1099.1127503514044</v>
      </c>
    </row>
    <row r="35" spans="1:25" ht="14">
      <c r="A35" s="13"/>
      <c r="B35" s="14" t="s">
        <v>37</v>
      </c>
      <c r="D35">
        <f>STDEV(D32:D33)</f>
        <v>37.542055880983931</v>
      </c>
      <c r="E35">
        <f t="shared" ref="E35:L35" si="6">STDEV(E32:E33)</f>
        <v>22.525233528590373</v>
      </c>
      <c r="F35">
        <f t="shared" si="6"/>
        <v>7.5084111761970602</v>
      </c>
      <c r="G35">
        <f t="shared" si="6"/>
        <v>11.262616764295208</v>
      </c>
      <c r="H35">
        <f t="shared" si="6"/>
        <v>26.279439116688746</v>
      </c>
      <c r="I35">
        <f t="shared" si="6"/>
        <v>7.5084111761965779</v>
      </c>
      <c r="J35">
        <f t="shared" si="6"/>
        <v>7.5084111761967991</v>
      </c>
      <c r="K35">
        <f t="shared" si="6"/>
        <v>26.279439116688746</v>
      </c>
      <c r="L35">
        <f t="shared" si="6"/>
        <v>0</v>
      </c>
      <c r="M35">
        <f>STDEV(M32:M33)</f>
        <v>15.016822352393698</v>
      </c>
      <c r="N35">
        <f>STDEV(N32:N33)</f>
        <v>75.08411176196806</v>
      </c>
      <c r="O35">
        <f>STDEV(O32:O33)</f>
        <v>82.592522938164848</v>
      </c>
      <c r="P35">
        <f>STDEV(P32:P33)</f>
        <v>3.7542055880981282</v>
      </c>
      <c r="Q35">
        <f>STDEV(Q32:Q33)</f>
        <v>26.279439116688909</v>
      </c>
      <c r="R35">
        <v>137.04836748722173</v>
      </c>
      <c r="S35">
        <v>77.874936551003572</v>
      </c>
      <c r="T35">
        <v>34.890275743359048</v>
      </c>
      <c r="U35">
        <v>18.771027940492047</v>
      </c>
      <c r="V35">
        <v>147.72501036342723</v>
      </c>
      <c r="W35">
        <v>201.52535869868953</v>
      </c>
      <c r="X35">
        <v>2.721302463330634</v>
      </c>
      <c r="Y35">
        <v>99.158699977712374</v>
      </c>
    </row>
  </sheetData>
  <mergeCells count="5">
    <mergeCell ref="A32:A33"/>
    <mergeCell ref="A24:A25"/>
    <mergeCell ref="A26:A27"/>
    <mergeCell ref="A28:A29"/>
    <mergeCell ref="A30:A31"/>
  </mergeCells>
  <phoneticPr fontId="8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all</vt:lpstr>
      <vt:lpstr>1</vt:lpstr>
      <vt:lpstr>2</vt:lpstr>
      <vt:lpstr>3</vt:lpstr>
      <vt:lpstr>4</vt:lpstr>
      <vt:lpstr>5</vt:lpstr>
      <vt:lpstr>双点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Yujie YANG</cp:lastModifiedBy>
  <dcterms:created xsi:type="dcterms:W3CDTF">2011-01-18T20:51:17Z</dcterms:created>
  <dcterms:modified xsi:type="dcterms:W3CDTF">2024-06-19T07:42:42Z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